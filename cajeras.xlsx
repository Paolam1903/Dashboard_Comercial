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3 Marzo/"/>
    </mc:Choice>
  </mc:AlternateContent>
  <xr:revisionPtr revIDLastSave="6" documentId="8_{72571A61-F525-4F73-8CCB-EC336A3BD61B}" xr6:coauthVersionLast="47" xr6:coauthVersionMax="47" xr10:uidLastSave="{5DC5A4E8-5F22-4C5E-9E24-D335811926E2}"/>
  <bookViews>
    <workbookView xWindow="-120" yWindow="-120" windowWidth="29040" windowHeight="15720" xr2:uid="{F4EE39C7-80DC-452F-AED3-2A2B3614EAA3}"/>
  </bookViews>
  <sheets>
    <sheet name="Cajas" sheetId="1" r:id="rId1"/>
  </sheets>
  <definedNames>
    <definedName name="_xlnm._FilterDatabase" localSheetId="0" hidden="1">Cajas!$A$1:$O$67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H45" i="1"/>
  <c r="G45" i="1"/>
  <c r="K45" i="1" s="1"/>
  <c r="H44" i="1"/>
  <c r="G44" i="1"/>
  <c r="K44" i="1" s="1"/>
  <c r="G43" i="1"/>
  <c r="G42" i="1"/>
  <c r="G41" i="1"/>
  <c r="H40" i="1"/>
  <c r="G40" i="1"/>
  <c r="K40" i="1" s="1"/>
  <c r="G39" i="1"/>
  <c r="H38" i="1"/>
  <c r="G38" i="1"/>
  <c r="G37" i="1"/>
  <c r="G36" i="1"/>
  <c r="H35" i="1"/>
  <c r="G35" i="1"/>
  <c r="K35" i="1" s="1"/>
  <c r="H34" i="1"/>
  <c r="G34" i="1"/>
  <c r="K34" i="1" s="1"/>
  <c r="G33" i="1"/>
  <c r="G32" i="1"/>
  <c r="G31" i="1"/>
  <c r="G30" i="1"/>
  <c r="G29" i="1"/>
  <c r="G28" i="1"/>
  <c r="G27" i="1"/>
  <c r="H27" i="1" s="1"/>
  <c r="G26" i="1"/>
  <c r="G25" i="1"/>
  <c r="G24" i="1"/>
  <c r="H23" i="1"/>
  <c r="G23" i="1"/>
  <c r="K23" i="1" s="1"/>
  <c r="G22" i="1"/>
  <c r="H22" i="1" s="1"/>
  <c r="G21" i="1"/>
  <c r="H20" i="1"/>
  <c r="G20" i="1"/>
  <c r="K20" i="1" s="1"/>
  <c r="H19" i="1"/>
  <c r="G19" i="1"/>
  <c r="K19" i="1" s="1"/>
  <c r="H18" i="1"/>
  <c r="G18" i="1"/>
  <c r="K18" i="1" s="1"/>
  <c r="H17" i="1"/>
  <c r="G17" i="1"/>
  <c r="G16" i="1"/>
  <c r="G15" i="1"/>
  <c r="H14" i="1"/>
  <c r="G14" i="1"/>
  <c r="K14" i="1" s="1"/>
  <c r="H13" i="1"/>
  <c r="G13" i="1"/>
  <c r="K13" i="1" s="1"/>
  <c r="H12" i="1"/>
  <c r="G12" i="1"/>
  <c r="K12" i="1" s="1"/>
  <c r="G11" i="1"/>
  <c r="G10" i="1"/>
  <c r="G9" i="1"/>
  <c r="G8" i="1"/>
  <c r="G7" i="1"/>
  <c r="G6" i="1"/>
  <c r="G5" i="1"/>
  <c r="G4" i="1"/>
  <c r="H3" i="1"/>
  <c r="G3" i="1"/>
  <c r="K3" i="1" s="1"/>
  <c r="G2" i="1"/>
  <c r="I45" i="1" l="1"/>
  <c r="J45" i="1"/>
  <c r="J44" i="1"/>
  <c r="I44" i="1"/>
  <c r="H43" i="1"/>
  <c r="K43" i="1" s="1"/>
  <c r="H42" i="1"/>
  <c r="K42" i="1" s="1"/>
  <c r="H41" i="1"/>
  <c r="K41" i="1" s="1"/>
  <c r="J40" i="1"/>
  <c r="I40" i="1"/>
  <c r="H39" i="1"/>
  <c r="K39" i="1" s="1"/>
  <c r="J38" i="1"/>
  <c r="K38" i="1"/>
  <c r="I38" i="1"/>
  <c r="H37" i="1"/>
  <c r="K37" i="1" s="1"/>
  <c r="H36" i="1"/>
  <c r="K36" i="1" s="1"/>
  <c r="I35" i="1"/>
  <c r="J35" i="1"/>
  <c r="I34" i="1"/>
  <c r="J34" i="1"/>
  <c r="H33" i="1"/>
  <c r="K33" i="1" s="1"/>
  <c r="H32" i="1"/>
  <c r="K32" i="1" s="1"/>
  <c r="K31" i="1"/>
  <c r="H31" i="1"/>
  <c r="H30" i="1"/>
  <c r="K30" i="1"/>
  <c r="H29" i="1"/>
  <c r="K29" i="1" s="1"/>
  <c r="H28" i="1"/>
  <c r="K28" i="1" s="1"/>
  <c r="I27" i="1"/>
  <c r="J27" i="1"/>
  <c r="K27" i="1"/>
  <c r="H26" i="1"/>
  <c r="K26" i="1" s="1"/>
  <c r="H25" i="1"/>
  <c r="K25" i="1" s="1"/>
  <c r="H24" i="1"/>
  <c r="K24" i="1" s="1"/>
  <c r="I23" i="1"/>
  <c r="J23" i="1"/>
  <c r="I22" i="1"/>
  <c r="J22" i="1"/>
  <c r="K22" i="1"/>
  <c r="H21" i="1"/>
  <c r="K21" i="1" s="1"/>
  <c r="I20" i="1"/>
  <c r="J20" i="1"/>
  <c r="J19" i="1"/>
  <c r="I19" i="1"/>
  <c r="I18" i="1"/>
  <c r="J18" i="1"/>
  <c r="K17" i="1"/>
  <c r="J17" i="1"/>
  <c r="I17" i="1"/>
  <c r="H16" i="1"/>
  <c r="K16" i="1" s="1"/>
  <c r="H15" i="1"/>
  <c r="K15" i="1" s="1"/>
  <c r="I14" i="1"/>
  <c r="J14" i="1"/>
  <c r="I13" i="1"/>
  <c r="J13" i="1"/>
  <c r="J12" i="1"/>
  <c r="I12" i="1"/>
  <c r="H11" i="1"/>
  <c r="K11" i="1" s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4" i="1"/>
  <c r="K4" i="1" s="1"/>
  <c r="I3" i="1"/>
  <c r="J3" i="1"/>
  <c r="H2" i="1"/>
  <c r="K2" i="1" s="1"/>
  <c r="I43" i="1" l="1"/>
  <c r="J43" i="1"/>
  <c r="I42" i="1"/>
  <c r="J42" i="1"/>
  <c r="I41" i="1"/>
  <c r="J41" i="1"/>
  <c r="I39" i="1"/>
  <c r="J39" i="1"/>
  <c r="I37" i="1"/>
  <c r="J37" i="1"/>
  <c r="I36" i="1"/>
  <c r="J36" i="1"/>
  <c r="J33" i="1"/>
  <c r="I33" i="1"/>
  <c r="I32" i="1"/>
  <c r="J32" i="1"/>
  <c r="I31" i="1"/>
  <c r="J31" i="1"/>
  <c r="I30" i="1"/>
  <c r="J30" i="1"/>
  <c r="I29" i="1"/>
  <c r="J29" i="1"/>
  <c r="I28" i="1"/>
  <c r="J28" i="1"/>
  <c r="I26" i="1"/>
  <c r="J26" i="1"/>
  <c r="I25" i="1"/>
  <c r="J25" i="1"/>
  <c r="J24" i="1"/>
  <c r="I24" i="1"/>
  <c r="I21" i="1"/>
  <c r="J21" i="1"/>
  <c r="I16" i="1"/>
  <c r="J16" i="1"/>
  <c r="I15" i="1"/>
  <c r="J15" i="1"/>
  <c r="I11" i="1"/>
  <c r="J11" i="1"/>
  <c r="I10" i="1"/>
  <c r="J10" i="1"/>
  <c r="I9" i="1"/>
  <c r="J9" i="1"/>
  <c r="I8" i="1"/>
  <c r="J8" i="1"/>
  <c r="I7" i="1"/>
  <c r="J7" i="1"/>
  <c r="J6" i="1"/>
  <c r="I6" i="1"/>
  <c r="I5" i="1"/>
  <c r="J5" i="1"/>
  <c r="I4" i="1"/>
  <c r="J4" i="1"/>
  <c r="I2" i="1"/>
  <c r="J2" i="1"/>
</calcChain>
</file>

<file path=xl/sharedStrings.xml><?xml version="1.0" encoding="utf-8"?>
<sst xmlns="http://schemas.openxmlformats.org/spreadsheetml/2006/main" count="144" uniqueCount="37">
  <si>
    <t>SADMIN</t>
  </si>
  <si>
    <t>SICACOM</t>
  </si>
  <si>
    <t>PAGOS CLARO</t>
  </si>
  <si>
    <t>OTROS CONVENIOS</t>
  </si>
  <si>
    <t>TOTAL CORRESPONSAL</t>
  </si>
  <si>
    <t>TOTAL RECAUDOS</t>
  </si>
  <si>
    <t>SADMIN %</t>
  </si>
  <si>
    <t>SICACOM %</t>
  </si>
  <si>
    <t>TOTAL CORRESPONSAL %</t>
  </si>
  <si>
    <t>Diciembre</t>
  </si>
  <si>
    <t>JUNIN</t>
  </si>
  <si>
    <t>CALDAS</t>
  </si>
  <si>
    <t>ENVIGADO</t>
  </si>
  <si>
    <t>COPACABANA</t>
  </si>
  <si>
    <t>SABANETA</t>
  </si>
  <si>
    <t>EL BAGRE</t>
  </si>
  <si>
    <t>SEGOVIA</t>
  </si>
  <si>
    <t>ITAGUI</t>
  </si>
  <si>
    <t>BARBOSA</t>
  </si>
  <si>
    <t>FRONTINO</t>
  </si>
  <si>
    <t>ZARAGOZA</t>
  </si>
  <si>
    <t>PRADO</t>
  </si>
  <si>
    <t>DABEIBA</t>
  </si>
  <si>
    <t>CAUCASIA</t>
  </si>
  <si>
    <t>CIUDAD BOLIVAR</t>
  </si>
  <si>
    <t>DON MATIAS</t>
  </si>
  <si>
    <t>TERMINAL DEL NORTE</t>
  </si>
  <si>
    <t>GIRARDOTA</t>
  </si>
  <si>
    <t>BELLO</t>
  </si>
  <si>
    <t>NECHI</t>
  </si>
  <si>
    <t>YARUMAL</t>
  </si>
  <si>
    <t>LA ESTRELLA</t>
  </si>
  <si>
    <t>Enero</t>
  </si>
  <si>
    <t>Febrero</t>
  </si>
  <si>
    <t>Sucursal</t>
  </si>
  <si>
    <t>SERCOM ACTIVOS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</si>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</sst>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9699-894D-4B64-920D-B55A35C86703}">
  <dimension ref="A1:O67"/>
  <sheetViews>
    <sheetView showGridLines="0" tabSelected="1" workbookViewId="0">
      <pane ySplit="1" topLeftCell="A2" activePane="bottomLeft" state="frozen"/>
      <selection pane="bottomLeft" activeCell="L1" sqref="L1"/>
    </sheetView>
  </sheetViews>
  <sheetFormatPr baseColWidth="10" defaultColWidth="11.5703125" defaultRowHeight="15" x14ac:dyDescent="0.25"/>
  <cols>
    <col min="1" max="1" width="10" bestFit="1" customWidth="1"/>
    <col min="2" max="2" width="19.85546875" bestFit="1" customWidth="1"/>
    <col min="3" max="3" width="12.85546875" bestFit="1" customWidth="1"/>
    <col min="4" max="4" width="14.28515625" bestFit="1" customWidth="1"/>
    <col min="5" max="5" width="18.5703125" bestFit="1" customWidth="1"/>
    <col min="6" max="6" width="23.5703125" bestFit="1" customWidth="1"/>
    <col min="7" max="7" width="26.85546875" bestFit="1" customWidth="1"/>
    <col min="8" max="8" width="22" bestFit="1" customWidth="1"/>
    <col min="9" max="9" width="15.42578125" customWidth="1"/>
    <col min="10" max="10" width="13.28515625" bestFit="1" customWidth="1"/>
    <col min="11" max="11" width="25.28515625" bestFit="1" customWidth="1"/>
    <col min="12" max="12" width="18.5703125" bestFit="1" customWidth="1"/>
    <col min="15" max="15" width="11.5703125" style="5"/>
  </cols>
  <sheetData>
    <row r="1" spans="1:12" x14ac:dyDescent="0.25">
      <c r="A1" t="s">
        <v>36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35</v>
      </c>
    </row>
    <row r="2" spans="1:12" x14ac:dyDescent="0.25">
      <c r="A2" t="s">
        <v>9</v>
      </c>
      <c r="B2" t="s">
        <v>10</v>
      </c>
      <c r="C2" s="2">
        <v>39</v>
      </c>
      <c r="D2" s="2">
        <v>3979</v>
      </c>
      <c r="E2" s="2">
        <v>6523</v>
      </c>
      <c r="F2" s="2">
        <v>541</v>
      </c>
      <c r="G2" s="2">
        <f>E2+F2</f>
        <v>7064</v>
      </c>
      <c r="H2" s="2">
        <f>SUM(C2,D2,G2)</f>
        <v>11082</v>
      </c>
      <c r="I2" s="3">
        <f>C2/H2</f>
        <v>3.5192203573362209E-3</v>
      </c>
      <c r="J2" s="3">
        <f>D2/H2</f>
        <v>0.3590507128677134</v>
      </c>
      <c r="K2" s="3">
        <f>G2/H2</f>
        <v>0.6374300667749504</v>
      </c>
    </row>
    <row r="3" spans="1:12" x14ac:dyDescent="0.25">
      <c r="A3" t="s">
        <v>9</v>
      </c>
      <c r="B3" t="s">
        <v>11</v>
      </c>
      <c r="C3" s="2">
        <v>60</v>
      </c>
      <c r="D3" s="2">
        <v>1502</v>
      </c>
      <c r="E3" s="2">
        <v>5348</v>
      </c>
      <c r="F3" s="2">
        <v>937</v>
      </c>
      <c r="G3" s="2">
        <f t="shared" ref="G3:G23" si="0">E3+F3</f>
        <v>6285</v>
      </c>
      <c r="H3" s="2">
        <f t="shared" ref="H3:H23" si="1">SUM(C3,D3,G3)</f>
        <v>7847</v>
      </c>
      <c r="I3" s="3">
        <f t="shared" ref="I3:I23" si="2">C3/H3</f>
        <v>7.646234229641901E-3</v>
      </c>
      <c r="J3" s="3">
        <f t="shared" ref="J3:J23" si="3">D3/H3</f>
        <v>0.19141073021536892</v>
      </c>
      <c r="K3" s="3">
        <f t="shared" ref="K3:K23" si="4">G3/H3</f>
        <v>0.80094303555498914</v>
      </c>
    </row>
    <row r="4" spans="1:12" x14ac:dyDescent="0.25">
      <c r="A4" t="s">
        <v>9</v>
      </c>
      <c r="B4" t="s">
        <v>12</v>
      </c>
      <c r="C4" s="2">
        <v>36</v>
      </c>
      <c r="D4" s="2">
        <v>3170</v>
      </c>
      <c r="E4" s="2">
        <v>6760</v>
      </c>
      <c r="F4" s="2">
        <v>433</v>
      </c>
      <c r="G4" s="2">
        <f t="shared" si="0"/>
        <v>7193</v>
      </c>
      <c r="H4" s="2">
        <f t="shared" si="1"/>
        <v>10399</v>
      </c>
      <c r="I4" s="3">
        <f t="shared" si="2"/>
        <v>3.4618713337820945E-3</v>
      </c>
      <c r="J4" s="3">
        <f t="shared" si="3"/>
        <v>0.30483700355803445</v>
      </c>
      <c r="K4" s="3">
        <f t="shared" si="4"/>
        <v>0.69170112510818349</v>
      </c>
    </row>
    <row r="5" spans="1:12" x14ac:dyDescent="0.25">
      <c r="A5" t="s">
        <v>9</v>
      </c>
      <c r="B5" t="s">
        <v>13</v>
      </c>
      <c r="C5" s="2">
        <v>51</v>
      </c>
      <c r="D5" s="2">
        <v>1457</v>
      </c>
      <c r="E5" s="2">
        <v>4608</v>
      </c>
      <c r="F5" s="2">
        <v>651</v>
      </c>
      <c r="G5" s="2">
        <f t="shared" si="0"/>
        <v>5259</v>
      </c>
      <c r="H5" s="2">
        <f t="shared" si="1"/>
        <v>6767</v>
      </c>
      <c r="I5" s="3">
        <f t="shared" si="2"/>
        <v>7.5365745529776861E-3</v>
      </c>
      <c r="J5" s="3">
        <f t="shared" si="3"/>
        <v>0.2153095906605586</v>
      </c>
      <c r="K5" s="3">
        <f t="shared" si="4"/>
        <v>0.77715383478646372</v>
      </c>
    </row>
    <row r="6" spans="1:12" x14ac:dyDescent="0.25">
      <c r="A6" t="s">
        <v>9</v>
      </c>
      <c r="B6" t="s">
        <v>14</v>
      </c>
      <c r="C6" s="2">
        <v>23</v>
      </c>
      <c r="D6" s="2">
        <v>1916</v>
      </c>
      <c r="E6" s="2">
        <v>3773</v>
      </c>
      <c r="F6" s="2">
        <v>371</v>
      </c>
      <c r="G6" s="2">
        <f t="shared" si="0"/>
        <v>4144</v>
      </c>
      <c r="H6" s="2">
        <f t="shared" si="1"/>
        <v>6083</v>
      </c>
      <c r="I6" s="3">
        <f t="shared" si="2"/>
        <v>3.7810290974847937E-3</v>
      </c>
      <c r="J6" s="3">
        <f t="shared" si="3"/>
        <v>0.31497616307742893</v>
      </c>
      <c r="K6" s="3">
        <f t="shared" si="4"/>
        <v>0.68124280782508628</v>
      </c>
    </row>
    <row r="7" spans="1:12" x14ac:dyDescent="0.25">
      <c r="A7" t="s">
        <v>9</v>
      </c>
      <c r="B7" t="s">
        <v>15</v>
      </c>
      <c r="C7" s="2">
        <v>72</v>
      </c>
      <c r="D7" s="2">
        <v>4401</v>
      </c>
      <c r="E7" s="2">
        <v>146</v>
      </c>
      <c r="F7" s="2">
        <v>859</v>
      </c>
      <c r="G7" s="2">
        <f t="shared" si="0"/>
        <v>1005</v>
      </c>
      <c r="H7" s="2">
        <f t="shared" si="1"/>
        <v>5478</v>
      </c>
      <c r="I7" s="3">
        <f t="shared" si="2"/>
        <v>1.3143483023001095E-2</v>
      </c>
      <c r="J7" s="3">
        <f t="shared" si="3"/>
        <v>0.80339539978094199</v>
      </c>
      <c r="K7" s="3">
        <f t="shared" si="4"/>
        <v>0.18346111719605696</v>
      </c>
    </row>
    <row r="8" spans="1:12" x14ac:dyDescent="0.25">
      <c r="A8" t="s">
        <v>9</v>
      </c>
      <c r="B8" t="s">
        <v>16</v>
      </c>
      <c r="C8" s="2">
        <v>140</v>
      </c>
      <c r="D8" s="2">
        <v>3172</v>
      </c>
      <c r="E8" s="2">
        <v>93</v>
      </c>
      <c r="F8" s="2">
        <v>690</v>
      </c>
      <c r="G8" s="2">
        <f t="shared" si="0"/>
        <v>783</v>
      </c>
      <c r="H8" s="2">
        <f t="shared" si="1"/>
        <v>4095</v>
      </c>
      <c r="I8" s="3">
        <f t="shared" si="2"/>
        <v>3.4188034188034191E-2</v>
      </c>
      <c r="J8" s="3">
        <f t="shared" si="3"/>
        <v>0.77460317460317463</v>
      </c>
      <c r="K8" s="3">
        <f t="shared" si="4"/>
        <v>0.1912087912087912</v>
      </c>
    </row>
    <row r="9" spans="1:12" x14ac:dyDescent="0.25">
      <c r="A9" t="s">
        <v>9</v>
      </c>
      <c r="B9" t="s">
        <v>17</v>
      </c>
      <c r="C9" s="2">
        <v>15</v>
      </c>
      <c r="D9" s="2">
        <v>4650</v>
      </c>
      <c r="E9" s="2">
        <v>2592</v>
      </c>
      <c r="F9" s="2">
        <v>250</v>
      </c>
      <c r="G9" s="2">
        <f t="shared" si="0"/>
        <v>2842</v>
      </c>
      <c r="H9" s="2">
        <f t="shared" si="1"/>
        <v>7507</v>
      </c>
      <c r="I9" s="3">
        <f t="shared" si="2"/>
        <v>1.9981350739309979E-3</v>
      </c>
      <c r="J9" s="3">
        <f t="shared" si="3"/>
        <v>0.61942187291860928</v>
      </c>
      <c r="K9" s="3">
        <f t="shared" si="4"/>
        <v>0.37857999200745973</v>
      </c>
    </row>
    <row r="10" spans="1:12" x14ac:dyDescent="0.25">
      <c r="A10" t="s">
        <v>9</v>
      </c>
      <c r="B10" t="s">
        <v>18</v>
      </c>
      <c r="C10" s="2">
        <v>124</v>
      </c>
      <c r="D10" s="2">
        <v>2121</v>
      </c>
      <c r="E10" s="2">
        <v>1566</v>
      </c>
      <c r="F10" s="2">
        <v>1321</v>
      </c>
      <c r="G10" s="2">
        <f t="shared" si="0"/>
        <v>2887</v>
      </c>
      <c r="H10" s="2">
        <f t="shared" si="1"/>
        <v>5132</v>
      </c>
      <c r="I10" s="3">
        <f t="shared" si="2"/>
        <v>2.4162120031176928E-2</v>
      </c>
      <c r="J10" s="3">
        <f t="shared" si="3"/>
        <v>0.41328916601714732</v>
      </c>
      <c r="K10" s="3">
        <f t="shared" si="4"/>
        <v>0.56254871395167572</v>
      </c>
    </row>
    <row r="11" spans="1:12" x14ac:dyDescent="0.25">
      <c r="A11" t="s">
        <v>9</v>
      </c>
      <c r="B11" t="s">
        <v>19</v>
      </c>
      <c r="C11" s="2">
        <v>180</v>
      </c>
      <c r="D11" s="2">
        <v>1955</v>
      </c>
      <c r="E11" s="2">
        <v>4</v>
      </c>
      <c r="F11" s="2">
        <v>645</v>
      </c>
      <c r="G11" s="2">
        <f t="shared" si="0"/>
        <v>649</v>
      </c>
      <c r="H11" s="2">
        <f t="shared" si="1"/>
        <v>2784</v>
      </c>
      <c r="I11" s="3">
        <f t="shared" si="2"/>
        <v>6.4655172413793108E-2</v>
      </c>
      <c r="J11" s="3">
        <f t="shared" si="3"/>
        <v>0.70222701149425293</v>
      </c>
      <c r="K11" s="3">
        <f t="shared" si="4"/>
        <v>0.23311781609195403</v>
      </c>
    </row>
    <row r="12" spans="1:12" x14ac:dyDescent="0.25">
      <c r="A12" t="s">
        <v>9</v>
      </c>
      <c r="B12" t="s">
        <v>20</v>
      </c>
      <c r="C12" s="2">
        <v>79</v>
      </c>
      <c r="D12" s="2">
        <v>2531</v>
      </c>
      <c r="E12" s="2">
        <v>27</v>
      </c>
      <c r="F12" s="2">
        <v>753</v>
      </c>
      <c r="G12" s="2">
        <f t="shared" si="0"/>
        <v>780</v>
      </c>
      <c r="H12" s="2">
        <f t="shared" si="1"/>
        <v>3390</v>
      </c>
      <c r="I12" s="3">
        <f t="shared" si="2"/>
        <v>2.3303834808259587E-2</v>
      </c>
      <c r="J12" s="3">
        <f t="shared" si="3"/>
        <v>0.74660766961651914</v>
      </c>
      <c r="K12" s="3">
        <f t="shared" si="4"/>
        <v>0.23008849557522124</v>
      </c>
    </row>
    <row r="13" spans="1:12" x14ac:dyDescent="0.25">
      <c r="A13" t="s">
        <v>9</v>
      </c>
      <c r="B13" t="s">
        <v>21</v>
      </c>
      <c r="C13" s="2">
        <v>6</v>
      </c>
      <c r="D13" s="2">
        <v>432</v>
      </c>
      <c r="E13" s="2">
        <v>1883</v>
      </c>
      <c r="F13" s="2">
        <v>214</v>
      </c>
      <c r="G13" s="2">
        <f t="shared" si="0"/>
        <v>2097</v>
      </c>
      <c r="H13" s="2">
        <f t="shared" si="1"/>
        <v>2535</v>
      </c>
      <c r="I13" s="3">
        <f t="shared" si="2"/>
        <v>2.3668639053254438E-3</v>
      </c>
      <c r="J13" s="3">
        <f t="shared" si="3"/>
        <v>0.17041420118343195</v>
      </c>
      <c r="K13" s="3">
        <f t="shared" si="4"/>
        <v>0.82721893491124265</v>
      </c>
    </row>
    <row r="14" spans="1:12" x14ac:dyDescent="0.25">
      <c r="A14" t="s">
        <v>9</v>
      </c>
      <c r="B14" t="s">
        <v>22</v>
      </c>
      <c r="C14" s="2">
        <v>70</v>
      </c>
      <c r="D14" s="2">
        <v>1736</v>
      </c>
      <c r="E14" s="2">
        <v>0</v>
      </c>
      <c r="F14" s="2">
        <v>416</v>
      </c>
      <c r="G14" s="2">
        <f t="shared" si="0"/>
        <v>416</v>
      </c>
      <c r="H14" s="2">
        <f t="shared" si="1"/>
        <v>2222</v>
      </c>
      <c r="I14" s="3">
        <f t="shared" si="2"/>
        <v>3.1503150315031501E-2</v>
      </c>
      <c r="J14" s="3">
        <f t="shared" si="3"/>
        <v>0.78127812781278128</v>
      </c>
      <c r="K14" s="3">
        <f t="shared" si="4"/>
        <v>0.18721872187218722</v>
      </c>
    </row>
    <row r="15" spans="1:12" x14ac:dyDescent="0.25">
      <c r="A15" t="s">
        <v>9</v>
      </c>
      <c r="B15" t="s">
        <v>23</v>
      </c>
      <c r="C15" s="2">
        <v>19</v>
      </c>
      <c r="D15" s="2">
        <v>351</v>
      </c>
      <c r="E15" s="2">
        <v>3187</v>
      </c>
      <c r="F15" s="2">
        <v>128</v>
      </c>
      <c r="G15" s="2">
        <f t="shared" si="0"/>
        <v>3315</v>
      </c>
      <c r="H15" s="2">
        <f t="shared" si="1"/>
        <v>3685</v>
      </c>
      <c r="I15" s="3">
        <f t="shared" si="2"/>
        <v>5.1560379918588872E-3</v>
      </c>
      <c r="J15" s="3">
        <f t="shared" si="3"/>
        <v>9.525101763907734E-2</v>
      </c>
      <c r="K15" s="3">
        <f t="shared" si="4"/>
        <v>0.89959294436906379</v>
      </c>
    </row>
    <row r="16" spans="1:12" x14ac:dyDescent="0.25">
      <c r="A16" t="s">
        <v>9</v>
      </c>
      <c r="B16" t="s">
        <v>24</v>
      </c>
      <c r="C16" s="2">
        <v>12</v>
      </c>
      <c r="D16" s="2">
        <v>1173</v>
      </c>
      <c r="E16" s="2">
        <v>1365</v>
      </c>
      <c r="F16" s="2">
        <v>308</v>
      </c>
      <c r="G16" s="2">
        <f t="shared" si="0"/>
        <v>1673</v>
      </c>
      <c r="H16" s="2">
        <f t="shared" si="1"/>
        <v>2858</v>
      </c>
      <c r="I16" s="3">
        <f t="shared" si="2"/>
        <v>4.1987403778866337E-3</v>
      </c>
      <c r="J16" s="3">
        <f t="shared" si="3"/>
        <v>0.41042687193841848</v>
      </c>
      <c r="K16" s="3">
        <f t="shared" si="4"/>
        <v>0.58537438768369487</v>
      </c>
    </row>
    <row r="17" spans="1:11" x14ac:dyDescent="0.25">
      <c r="A17" t="s">
        <v>9</v>
      </c>
      <c r="B17" t="s">
        <v>25</v>
      </c>
      <c r="C17" s="2">
        <v>60</v>
      </c>
      <c r="D17" s="2">
        <v>1483</v>
      </c>
      <c r="E17" s="2">
        <v>1001</v>
      </c>
      <c r="F17" s="2">
        <v>576</v>
      </c>
      <c r="G17" s="2">
        <f t="shared" si="0"/>
        <v>1577</v>
      </c>
      <c r="H17" s="2">
        <f t="shared" si="1"/>
        <v>3120</v>
      </c>
      <c r="I17" s="3">
        <f t="shared" si="2"/>
        <v>1.9230769230769232E-2</v>
      </c>
      <c r="J17" s="3">
        <f t="shared" si="3"/>
        <v>0.4753205128205128</v>
      </c>
      <c r="K17" s="3">
        <f t="shared" si="4"/>
        <v>0.50544871794871793</v>
      </c>
    </row>
    <row r="18" spans="1:11" x14ac:dyDescent="0.25">
      <c r="A18" t="s">
        <v>9</v>
      </c>
      <c r="B18" t="s">
        <v>26</v>
      </c>
      <c r="C18" s="2">
        <v>12</v>
      </c>
      <c r="D18" s="2">
        <v>1174</v>
      </c>
      <c r="E18" s="2">
        <v>2312</v>
      </c>
      <c r="F18" s="2">
        <v>239</v>
      </c>
      <c r="G18" s="2">
        <f t="shared" si="0"/>
        <v>2551</v>
      </c>
      <c r="H18" s="2">
        <f t="shared" si="1"/>
        <v>3737</v>
      </c>
      <c r="I18" s="3">
        <f t="shared" si="2"/>
        <v>3.2111319240032111E-3</v>
      </c>
      <c r="J18" s="3">
        <f t="shared" si="3"/>
        <v>0.31415573989831413</v>
      </c>
      <c r="K18" s="3">
        <f t="shared" si="4"/>
        <v>0.68263312817768262</v>
      </c>
    </row>
    <row r="19" spans="1:11" x14ac:dyDescent="0.25">
      <c r="A19" t="s">
        <v>9</v>
      </c>
      <c r="B19" t="s">
        <v>27</v>
      </c>
      <c r="C19" s="2">
        <v>49</v>
      </c>
      <c r="D19" s="2">
        <v>2130</v>
      </c>
      <c r="E19" s="2">
        <v>1881</v>
      </c>
      <c r="F19" s="2">
        <v>1038</v>
      </c>
      <c r="G19" s="2">
        <f t="shared" si="0"/>
        <v>2919</v>
      </c>
      <c r="H19" s="2">
        <f t="shared" si="1"/>
        <v>5098</v>
      </c>
      <c r="I19" s="3">
        <f t="shared" si="2"/>
        <v>9.6116123970184392E-3</v>
      </c>
      <c r="J19" s="3">
        <f t="shared" si="3"/>
        <v>0.41781090623774031</v>
      </c>
      <c r="K19" s="3">
        <f t="shared" si="4"/>
        <v>0.57257748136524123</v>
      </c>
    </row>
    <row r="20" spans="1:11" x14ac:dyDescent="0.25">
      <c r="A20" t="s">
        <v>9</v>
      </c>
      <c r="B20" t="s">
        <v>28</v>
      </c>
      <c r="C20" s="2">
        <v>34</v>
      </c>
      <c r="D20" s="2">
        <v>902</v>
      </c>
      <c r="E20" s="2">
        <v>9211</v>
      </c>
      <c r="F20" s="2">
        <v>324</v>
      </c>
      <c r="G20" s="2">
        <f t="shared" si="0"/>
        <v>9535</v>
      </c>
      <c r="H20" s="2">
        <f t="shared" si="1"/>
        <v>10471</v>
      </c>
      <c r="I20" s="3">
        <f t="shared" si="2"/>
        <v>3.2470633177346959E-3</v>
      </c>
      <c r="J20" s="3">
        <f t="shared" si="3"/>
        <v>8.614267978225576E-2</v>
      </c>
      <c r="K20" s="3">
        <f t="shared" si="4"/>
        <v>0.91061025690000952</v>
      </c>
    </row>
    <row r="21" spans="1:11" x14ac:dyDescent="0.25">
      <c r="A21" t="s">
        <v>9</v>
      </c>
      <c r="B21" t="s">
        <v>29</v>
      </c>
      <c r="C21" s="2">
        <v>37</v>
      </c>
      <c r="D21" s="2">
        <v>1189</v>
      </c>
      <c r="E21" s="2">
        <v>24</v>
      </c>
      <c r="F21" s="2">
        <v>332</v>
      </c>
      <c r="G21" s="2">
        <f t="shared" si="0"/>
        <v>356</v>
      </c>
      <c r="H21" s="2">
        <f t="shared" si="1"/>
        <v>1582</v>
      </c>
      <c r="I21" s="3">
        <f t="shared" si="2"/>
        <v>2.3388116308470291E-2</v>
      </c>
      <c r="J21" s="3">
        <f t="shared" si="3"/>
        <v>0.75158027812895067</v>
      </c>
      <c r="K21" s="3">
        <f t="shared" si="4"/>
        <v>0.22503160556257901</v>
      </c>
    </row>
    <row r="22" spans="1:11" x14ac:dyDescent="0.25">
      <c r="A22" t="s">
        <v>9</v>
      </c>
      <c r="B22" t="s">
        <v>30</v>
      </c>
      <c r="C22" s="2">
        <v>21</v>
      </c>
      <c r="D22" s="2">
        <v>1760</v>
      </c>
      <c r="E22" s="2">
        <v>2051</v>
      </c>
      <c r="F22" s="2">
        <v>191</v>
      </c>
      <c r="G22" s="2">
        <f t="shared" si="0"/>
        <v>2242</v>
      </c>
      <c r="H22" s="2">
        <f t="shared" si="1"/>
        <v>4023</v>
      </c>
      <c r="I22" s="3">
        <f t="shared" si="2"/>
        <v>5.219985085756898E-3</v>
      </c>
      <c r="J22" s="3">
        <f t="shared" si="3"/>
        <v>0.43748446433010191</v>
      </c>
      <c r="K22" s="3">
        <f t="shared" si="4"/>
        <v>0.55729555058414115</v>
      </c>
    </row>
    <row r="23" spans="1:11" x14ac:dyDescent="0.25">
      <c r="A23" t="s">
        <v>9</v>
      </c>
      <c r="B23" t="s">
        <v>31</v>
      </c>
      <c r="C23" s="2">
        <v>12</v>
      </c>
      <c r="D23" s="2">
        <v>563</v>
      </c>
      <c r="E23" s="2">
        <v>941</v>
      </c>
      <c r="F23" s="2">
        <v>130</v>
      </c>
      <c r="G23" s="2">
        <f t="shared" si="0"/>
        <v>1071</v>
      </c>
      <c r="H23" s="2">
        <f t="shared" si="1"/>
        <v>1646</v>
      </c>
      <c r="I23" s="3">
        <f t="shared" si="2"/>
        <v>7.2904009720534627E-3</v>
      </c>
      <c r="J23" s="3">
        <f t="shared" si="3"/>
        <v>0.34204131227217499</v>
      </c>
      <c r="K23" s="3">
        <f t="shared" si="4"/>
        <v>0.6506682867557716</v>
      </c>
    </row>
    <row r="24" spans="1:11" x14ac:dyDescent="0.25">
      <c r="A24" t="s">
        <v>32</v>
      </c>
      <c r="B24" t="s">
        <v>10</v>
      </c>
      <c r="C24" s="2">
        <v>27</v>
      </c>
      <c r="D24" s="2">
        <v>4177</v>
      </c>
      <c r="E24" s="2">
        <v>6164</v>
      </c>
      <c r="F24" s="2">
        <v>493</v>
      </c>
      <c r="G24" s="2">
        <f>E24+F24</f>
        <v>6657</v>
      </c>
      <c r="H24" s="2">
        <f>SUM(C24,D24,G24)</f>
        <v>10861</v>
      </c>
      <c r="I24" s="3">
        <f>C24/H24</f>
        <v>2.4859589356412853E-3</v>
      </c>
      <c r="J24" s="3">
        <f>D24/H24</f>
        <v>0.38458705459902404</v>
      </c>
      <c r="K24" s="3">
        <f>G24/H24</f>
        <v>0.61292698646533472</v>
      </c>
    </row>
    <row r="25" spans="1:11" x14ac:dyDescent="0.25">
      <c r="A25" t="s">
        <v>32</v>
      </c>
      <c r="B25" t="s">
        <v>11</v>
      </c>
      <c r="C25" s="2">
        <v>54</v>
      </c>
      <c r="D25" s="2">
        <v>2118</v>
      </c>
      <c r="E25" s="2">
        <v>5054</v>
      </c>
      <c r="F25" s="2">
        <v>789</v>
      </c>
      <c r="G25" s="2">
        <f t="shared" ref="G25:G45" si="5">E25+F25</f>
        <v>5843</v>
      </c>
      <c r="H25" s="2">
        <f t="shared" ref="H25:H45" si="6">SUM(C25,D25,G25)</f>
        <v>8015</v>
      </c>
      <c r="I25" s="3">
        <f t="shared" ref="I25:I67" si="7">C25/H25</f>
        <v>6.7373674360573926E-3</v>
      </c>
      <c r="J25" s="3">
        <f t="shared" ref="J25:J67" si="8">D25/H25</f>
        <v>0.2642545227698066</v>
      </c>
      <c r="K25" s="3">
        <f t="shared" ref="K25:K67" si="9">G25/H25</f>
        <v>0.72900810979413599</v>
      </c>
    </row>
    <row r="26" spans="1:11" x14ac:dyDescent="0.25">
      <c r="A26" t="s">
        <v>32</v>
      </c>
      <c r="B26" t="s">
        <v>12</v>
      </c>
      <c r="C26" s="2">
        <v>29</v>
      </c>
      <c r="D26" s="2">
        <v>5355</v>
      </c>
      <c r="E26" s="2">
        <v>4570</v>
      </c>
      <c r="F26" s="2">
        <v>375</v>
      </c>
      <c r="G26" s="2">
        <f t="shared" si="5"/>
        <v>4945</v>
      </c>
      <c r="H26" s="2">
        <f t="shared" si="6"/>
        <v>10329</v>
      </c>
      <c r="I26" s="3">
        <f t="shared" si="7"/>
        <v>2.8076290057120726E-3</v>
      </c>
      <c r="J26" s="3">
        <f t="shared" si="8"/>
        <v>0.51844321812372929</v>
      </c>
      <c r="K26" s="3">
        <f t="shared" si="9"/>
        <v>0.47874915287055864</v>
      </c>
    </row>
    <row r="27" spans="1:11" x14ac:dyDescent="0.25">
      <c r="A27" t="s">
        <v>32</v>
      </c>
      <c r="B27" t="s">
        <v>13</v>
      </c>
      <c r="C27" s="2">
        <v>14</v>
      </c>
      <c r="D27" s="2">
        <v>1837</v>
      </c>
      <c r="E27" s="2">
        <v>4197</v>
      </c>
      <c r="F27" s="2">
        <v>545</v>
      </c>
      <c r="G27" s="2">
        <f t="shared" si="5"/>
        <v>4742</v>
      </c>
      <c r="H27" s="2">
        <f t="shared" si="6"/>
        <v>6593</v>
      </c>
      <c r="I27" s="3">
        <f t="shared" si="7"/>
        <v>2.1234642802972852E-3</v>
      </c>
      <c r="J27" s="3">
        <f t="shared" si="8"/>
        <v>0.27862884877900806</v>
      </c>
      <c r="K27" s="3">
        <f t="shared" si="9"/>
        <v>0.71924768694069463</v>
      </c>
    </row>
    <row r="28" spans="1:11" x14ac:dyDescent="0.25">
      <c r="A28" t="s">
        <v>32</v>
      </c>
      <c r="B28" t="s">
        <v>14</v>
      </c>
      <c r="C28" s="2">
        <v>26</v>
      </c>
      <c r="D28" s="2">
        <v>2158</v>
      </c>
      <c r="E28" s="2">
        <v>3406</v>
      </c>
      <c r="F28" s="2">
        <v>336</v>
      </c>
      <c r="G28" s="2">
        <f t="shared" si="5"/>
        <v>3742</v>
      </c>
      <c r="H28" s="2">
        <f t="shared" si="6"/>
        <v>5926</v>
      </c>
      <c r="I28" s="3">
        <f t="shared" si="7"/>
        <v>4.3874451569355386E-3</v>
      </c>
      <c r="J28" s="3">
        <f t="shared" si="8"/>
        <v>0.36415794802564966</v>
      </c>
      <c r="K28" s="3">
        <f t="shared" si="9"/>
        <v>0.63145460681741483</v>
      </c>
    </row>
    <row r="29" spans="1:11" x14ac:dyDescent="0.25">
      <c r="A29" t="s">
        <v>32</v>
      </c>
      <c r="B29" t="s">
        <v>15</v>
      </c>
      <c r="C29" s="2">
        <v>65</v>
      </c>
      <c r="D29" s="2">
        <v>4020</v>
      </c>
      <c r="E29" s="2">
        <v>172</v>
      </c>
      <c r="F29" s="2">
        <v>622</v>
      </c>
      <c r="G29" s="2">
        <f t="shared" si="5"/>
        <v>794</v>
      </c>
      <c r="H29" s="2">
        <f t="shared" si="6"/>
        <v>4879</v>
      </c>
      <c r="I29" s="3">
        <f t="shared" si="7"/>
        <v>1.3322402131584341E-2</v>
      </c>
      <c r="J29" s="3">
        <f t="shared" si="8"/>
        <v>0.82393933183029311</v>
      </c>
      <c r="K29" s="3">
        <f t="shared" si="9"/>
        <v>0.16273826603812255</v>
      </c>
    </row>
    <row r="30" spans="1:11" x14ac:dyDescent="0.25">
      <c r="A30" t="s">
        <v>32</v>
      </c>
      <c r="B30" t="s">
        <v>16</v>
      </c>
      <c r="C30" s="2">
        <v>141</v>
      </c>
      <c r="D30" s="2">
        <v>3119</v>
      </c>
      <c r="E30" s="2">
        <v>0</v>
      </c>
      <c r="F30" s="2">
        <v>651</v>
      </c>
      <c r="G30" s="2">
        <f t="shared" si="5"/>
        <v>651</v>
      </c>
      <c r="H30" s="2">
        <f t="shared" si="6"/>
        <v>3911</v>
      </c>
      <c r="I30" s="3">
        <f t="shared" si="7"/>
        <v>3.6052160572743547E-2</v>
      </c>
      <c r="J30" s="3">
        <f t="shared" si="8"/>
        <v>0.7974942469956533</v>
      </c>
      <c r="K30" s="3">
        <f t="shared" si="9"/>
        <v>0.16645359243160318</v>
      </c>
    </row>
    <row r="31" spans="1:11" x14ac:dyDescent="0.25">
      <c r="A31" t="s">
        <v>32</v>
      </c>
      <c r="B31" t="s">
        <v>17</v>
      </c>
      <c r="C31" s="2">
        <v>10</v>
      </c>
      <c r="D31" s="2">
        <v>5432</v>
      </c>
      <c r="E31" s="2">
        <v>1523</v>
      </c>
      <c r="F31" s="2">
        <v>247</v>
      </c>
      <c r="G31" s="2">
        <f t="shared" si="5"/>
        <v>1770</v>
      </c>
      <c r="H31" s="2">
        <f t="shared" si="6"/>
        <v>7212</v>
      </c>
      <c r="I31" s="3">
        <f t="shared" si="7"/>
        <v>1.3865779256794233E-3</v>
      </c>
      <c r="J31" s="3">
        <f t="shared" si="8"/>
        <v>0.75318912922906267</v>
      </c>
      <c r="K31" s="3">
        <f t="shared" si="9"/>
        <v>0.24542429284525791</v>
      </c>
    </row>
    <row r="32" spans="1:11" x14ac:dyDescent="0.25">
      <c r="A32" t="s">
        <v>32</v>
      </c>
      <c r="B32" t="s">
        <v>18</v>
      </c>
      <c r="C32" s="2">
        <v>119</v>
      </c>
      <c r="D32" s="2">
        <v>2238</v>
      </c>
      <c r="E32" s="2">
        <v>1489</v>
      </c>
      <c r="F32" s="2">
        <v>1017</v>
      </c>
      <c r="G32" s="2">
        <f t="shared" si="5"/>
        <v>2506</v>
      </c>
      <c r="H32" s="2">
        <f t="shared" si="6"/>
        <v>4863</v>
      </c>
      <c r="I32" s="3">
        <f t="shared" si="7"/>
        <v>2.4470491466173146E-2</v>
      </c>
      <c r="J32" s="3">
        <f t="shared" si="8"/>
        <v>0.46020974706971007</v>
      </c>
      <c r="K32" s="3">
        <f t="shared" si="9"/>
        <v>0.51531976146411684</v>
      </c>
    </row>
    <row r="33" spans="1:12" x14ac:dyDescent="0.25">
      <c r="A33" t="s">
        <v>32</v>
      </c>
      <c r="B33" t="s">
        <v>19</v>
      </c>
      <c r="C33" s="2">
        <v>165</v>
      </c>
      <c r="D33" s="2">
        <v>1751</v>
      </c>
      <c r="E33" s="2">
        <v>1</v>
      </c>
      <c r="F33" s="2">
        <v>601</v>
      </c>
      <c r="G33" s="2">
        <f t="shared" si="5"/>
        <v>602</v>
      </c>
      <c r="H33" s="2">
        <f t="shared" si="6"/>
        <v>2518</v>
      </c>
      <c r="I33" s="3">
        <f t="shared" si="7"/>
        <v>6.5528196981731526E-2</v>
      </c>
      <c r="J33" s="3">
        <f t="shared" si="8"/>
        <v>0.69539316918189042</v>
      </c>
      <c r="K33" s="3">
        <f t="shared" si="9"/>
        <v>0.23907863383637809</v>
      </c>
    </row>
    <row r="34" spans="1:12" x14ac:dyDescent="0.25">
      <c r="A34" t="s">
        <v>32</v>
      </c>
      <c r="B34" t="s">
        <v>20</v>
      </c>
      <c r="C34" s="2">
        <v>59</v>
      </c>
      <c r="D34" s="2">
        <v>2299</v>
      </c>
      <c r="E34" s="2">
        <v>30</v>
      </c>
      <c r="F34" s="2">
        <v>684</v>
      </c>
      <c r="G34" s="2">
        <f t="shared" si="5"/>
        <v>714</v>
      </c>
      <c r="H34" s="2">
        <f t="shared" si="6"/>
        <v>3072</v>
      </c>
      <c r="I34" s="3">
        <f t="shared" si="7"/>
        <v>1.9205729166666668E-2</v>
      </c>
      <c r="J34" s="3">
        <f t="shared" si="8"/>
        <v>0.74837239583333337</v>
      </c>
      <c r="K34" s="3">
        <f t="shared" si="9"/>
        <v>0.232421875</v>
      </c>
    </row>
    <row r="35" spans="1:12" x14ac:dyDescent="0.25">
      <c r="A35" t="s">
        <v>32</v>
      </c>
      <c r="B35" t="s">
        <v>21</v>
      </c>
      <c r="C35" s="2">
        <v>5</v>
      </c>
      <c r="D35" s="2">
        <v>747</v>
      </c>
      <c r="E35" s="2">
        <v>1711</v>
      </c>
      <c r="F35" s="2">
        <v>224</v>
      </c>
      <c r="G35" s="2">
        <f t="shared" si="5"/>
        <v>1935</v>
      </c>
      <c r="H35" s="2">
        <f t="shared" si="6"/>
        <v>2687</v>
      </c>
      <c r="I35" s="3">
        <f t="shared" si="7"/>
        <v>1.8608113137327876E-3</v>
      </c>
      <c r="J35" s="3">
        <f t="shared" si="8"/>
        <v>0.27800521027167846</v>
      </c>
      <c r="K35" s="3">
        <f t="shared" si="9"/>
        <v>0.72013397841458882</v>
      </c>
    </row>
    <row r="36" spans="1:12" x14ac:dyDescent="0.25">
      <c r="A36" t="s">
        <v>32</v>
      </c>
      <c r="B36" t="s">
        <v>22</v>
      </c>
      <c r="C36" s="2">
        <v>51</v>
      </c>
      <c r="D36" s="2">
        <v>1657</v>
      </c>
      <c r="E36" s="2">
        <v>0</v>
      </c>
      <c r="F36" s="2">
        <v>423</v>
      </c>
      <c r="G36" s="2">
        <f t="shared" si="5"/>
        <v>423</v>
      </c>
      <c r="H36" s="2">
        <f t="shared" si="6"/>
        <v>2131</v>
      </c>
      <c r="I36" s="3">
        <f t="shared" si="7"/>
        <v>2.3932426091037073E-2</v>
      </c>
      <c r="J36" s="3">
        <f t="shared" si="8"/>
        <v>0.77756921633036136</v>
      </c>
      <c r="K36" s="3">
        <f t="shared" si="9"/>
        <v>0.1984983575786016</v>
      </c>
    </row>
    <row r="37" spans="1:12" x14ac:dyDescent="0.25">
      <c r="A37" t="s">
        <v>32</v>
      </c>
      <c r="B37" t="s">
        <v>23</v>
      </c>
      <c r="C37" s="2">
        <v>19</v>
      </c>
      <c r="D37" s="2">
        <v>387</v>
      </c>
      <c r="E37" s="2">
        <v>3039</v>
      </c>
      <c r="F37" s="2">
        <v>101</v>
      </c>
      <c r="G37" s="2">
        <f t="shared" si="5"/>
        <v>3140</v>
      </c>
      <c r="H37" s="2">
        <f t="shared" si="6"/>
        <v>3546</v>
      </c>
      <c r="I37" s="3">
        <f t="shared" si="7"/>
        <v>5.3581500282007897E-3</v>
      </c>
      <c r="J37" s="3">
        <f t="shared" si="8"/>
        <v>0.10913705583756345</v>
      </c>
      <c r="K37" s="3">
        <f t="shared" si="9"/>
        <v>0.88550479413423577</v>
      </c>
    </row>
    <row r="38" spans="1:12" x14ac:dyDescent="0.25">
      <c r="A38" t="s">
        <v>32</v>
      </c>
      <c r="B38" t="s">
        <v>24</v>
      </c>
      <c r="C38" s="2">
        <v>19</v>
      </c>
      <c r="D38" s="2">
        <v>1145</v>
      </c>
      <c r="E38" s="2">
        <v>1396</v>
      </c>
      <c r="F38" s="2">
        <v>210</v>
      </c>
      <c r="G38" s="2">
        <f t="shared" si="5"/>
        <v>1606</v>
      </c>
      <c r="H38" s="2">
        <f>SUM(C38,D38,G38)</f>
        <v>2770</v>
      </c>
      <c r="I38" s="3">
        <f t="shared" si="7"/>
        <v>6.8592057761732855E-3</v>
      </c>
      <c r="J38" s="3">
        <f>D38/H38</f>
        <v>0.41335740072202165</v>
      </c>
      <c r="K38" s="3">
        <f t="shared" si="9"/>
        <v>0.57978339350180508</v>
      </c>
    </row>
    <row r="39" spans="1:12" x14ac:dyDescent="0.25">
      <c r="A39" t="s">
        <v>32</v>
      </c>
      <c r="B39" t="s">
        <v>25</v>
      </c>
      <c r="C39" s="2">
        <v>50</v>
      </c>
      <c r="D39" s="2">
        <v>1783</v>
      </c>
      <c r="E39" s="2">
        <v>737</v>
      </c>
      <c r="F39" s="2">
        <v>641</v>
      </c>
      <c r="G39" s="2">
        <f t="shared" si="5"/>
        <v>1378</v>
      </c>
      <c r="H39" s="2">
        <f t="shared" si="6"/>
        <v>3211</v>
      </c>
      <c r="I39" s="3">
        <f t="shared" si="7"/>
        <v>1.5571473061351603E-2</v>
      </c>
      <c r="J39" s="3">
        <f t="shared" si="8"/>
        <v>0.55527872936779821</v>
      </c>
      <c r="K39" s="3">
        <f t="shared" si="9"/>
        <v>0.4291497975708502</v>
      </c>
    </row>
    <row r="40" spans="1:12" x14ac:dyDescent="0.25">
      <c r="A40" t="s">
        <v>32</v>
      </c>
      <c r="B40" t="s">
        <v>26</v>
      </c>
      <c r="C40" s="2">
        <v>6</v>
      </c>
      <c r="D40" s="2">
        <v>1443</v>
      </c>
      <c r="E40" s="2">
        <v>2052</v>
      </c>
      <c r="F40" s="2">
        <v>198</v>
      </c>
      <c r="G40" s="2">
        <f t="shared" si="5"/>
        <v>2250</v>
      </c>
      <c r="H40" s="2">
        <f t="shared" si="6"/>
        <v>3699</v>
      </c>
      <c r="I40" s="3">
        <f t="shared" si="7"/>
        <v>1.6220600162206002E-3</v>
      </c>
      <c r="J40" s="3">
        <f t="shared" si="8"/>
        <v>0.39010543390105434</v>
      </c>
      <c r="K40" s="3">
        <f t="shared" si="9"/>
        <v>0.6082725060827251</v>
      </c>
    </row>
    <row r="41" spans="1:12" x14ac:dyDescent="0.25">
      <c r="A41" t="s">
        <v>32</v>
      </c>
      <c r="B41" t="s">
        <v>27</v>
      </c>
      <c r="C41" s="2">
        <v>49</v>
      </c>
      <c r="D41" s="2">
        <v>2145</v>
      </c>
      <c r="E41" s="2">
        <v>1787</v>
      </c>
      <c r="F41" s="2">
        <v>890</v>
      </c>
      <c r="G41" s="2">
        <f t="shared" si="5"/>
        <v>2677</v>
      </c>
      <c r="H41" s="2">
        <f t="shared" si="6"/>
        <v>4871</v>
      </c>
      <c r="I41" s="3">
        <f t="shared" si="7"/>
        <v>1.0059536029562718E-2</v>
      </c>
      <c r="J41" s="3">
        <f t="shared" si="8"/>
        <v>0.44036132211044959</v>
      </c>
      <c r="K41" s="3">
        <f t="shared" si="9"/>
        <v>0.54957914185998769</v>
      </c>
    </row>
    <row r="42" spans="1:12" x14ac:dyDescent="0.25">
      <c r="A42" t="s">
        <v>32</v>
      </c>
      <c r="B42" t="s">
        <v>28</v>
      </c>
      <c r="C42" s="2">
        <v>31</v>
      </c>
      <c r="D42" s="2">
        <v>1486</v>
      </c>
      <c r="E42" s="2">
        <v>8720</v>
      </c>
      <c r="F42" s="2">
        <v>323</v>
      </c>
      <c r="G42" s="2">
        <f t="shared" si="5"/>
        <v>9043</v>
      </c>
      <c r="H42" s="2">
        <f t="shared" si="6"/>
        <v>10560</v>
      </c>
      <c r="I42" s="3">
        <f t="shared" si="7"/>
        <v>2.9356060606060604E-3</v>
      </c>
      <c r="J42" s="3">
        <f t="shared" si="8"/>
        <v>0.14071969696969697</v>
      </c>
      <c r="K42" s="3">
        <f t="shared" si="9"/>
        <v>0.85634469696969695</v>
      </c>
    </row>
    <row r="43" spans="1:12" x14ac:dyDescent="0.25">
      <c r="A43" t="s">
        <v>32</v>
      </c>
      <c r="B43" t="s">
        <v>29</v>
      </c>
      <c r="C43" s="2">
        <v>35</v>
      </c>
      <c r="D43" s="2">
        <v>1179</v>
      </c>
      <c r="E43" s="2">
        <v>11</v>
      </c>
      <c r="F43" s="2">
        <v>286</v>
      </c>
      <c r="G43" s="2">
        <f t="shared" si="5"/>
        <v>297</v>
      </c>
      <c r="H43" s="2">
        <f t="shared" si="6"/>
        <v>1511</v>
      </c>
      <c r="I43" s="3">
        <f t="shared" si="7"/>
        <v>2.3163467902051621E-2</v>
      </c>
      <c r="J43" s="3">
        <f t="shared" si="8"/>
        <v>0.78027796161482466</v>
      </c>
      <c r="K43" s="3">
        <f t="shared" si="9"/>
        <v>0.19655857048312375</v>
      </c>
    </row>
    <row r="44" spans="1:12" x14ac:dyDescent="0.25">
      <c r="A44" t="s">
        <v>32</v>
      </c>
      <c r="B44" t="s">
        <v>30</v>
      </c>
      <c r="C44" s="2">
        <v>24</v>
      </c>
      <c r="D44" s="2">
        <v>1781</v>
      </c>
      <c r="E44" s="2">
        <v>1905</v>
      </c>
      <c r="F44" s="2">
        <v>185</v>
      </c>
      <c r="G44" s="2">
        <f t="shared" si="5"/>
        <v>2090</v>
      </c>
      <c r="H44" s="2">
        <f t="shared" si="6"/>
        <v>3895</v>
      </c>
      <c r="I44" s="3">
        <f t="shared" si="7"/>
        <v>6.1617458279845955E-3</v>
      </c>
      <c r="J44" s="3">
        <f t="shared" si="8"/>
        <v>0.45725288831835686</v>
      </c>
      <c r="K44" s="3">
        <f t="shared" si="9"/>
        <v>0.53658536585365857</v>
      </c>
    </row>
    <row r="45" spans="1:12" x14ac:dyDescent="0.25">
      <c r="A45" t="s">
        <v>32</v>
      </c>
      <c r="B45" t="s">
        <v>31</v>
      </c>
      <c r="C45" s="2">
        <v>9</v>
      </c>
      <c r="D45" s="2">
        <v>815</v>
      </c>
      <c r="E45" s="2">
        <v>705</v>
      </c>
      <c r="F45" s="2">
        <v>102</v>
      </c>
      <c r="G45" s="2">
        <f t="shared" si="5"/>
        <v>807</v>
      </c>
      <c r="H45" s="2">
        <f t="shared" si="6"/>
        <v>1631</v>
      </c>
      <c r="I45" s="3">
        <f t="shared" si="7"/>
        <v>5.5180870631514412E-3</v>
      </c>
      <c r="J45" s="3">
        <f t="shared" si="8"/>
        <v>0.49969343960760271</v>
      </c>
      <c r="K45" s="3">
        <f t="shared" si="9"/>
        <v>0.49478847332924586</v>
      </c>
    </row>
    <row r="46" spans="1:12" x14ac:dyDescent="0.25">
      <c r="A46" t="s">
        <v>33</v>
      </c>
      <c r="B46" s="4" t="s">
        <v>13</v>
      </c>
      <c r="C46" s="2">
        <v>47</v>
      </c>
      <c r="D46" s="2">
        <v>1520</v>
      </c>
      <c r="E46" s="2">
        <v>4629</v>
      </c>
      <c r="F46" s="2">
        <v>669</v>
      </c>
      <c r="G46" s="2">
        <v>5298</v>
      </c>
      <c r="H46" s="2">
        <v>6865</v>
      </c>
      <c r="I46" s="3">
        <f t="shared" si="7"/>
        <v>6.8463219227967954E-3</v>
      </c>
      <c r="J46" s="3">
        <f t="shared" si="8"/>
        <v>0.22141296431172613</v>
      </c>
      <c r="K46" s="3">
        <f t="shared" si="9"/>
        <v>0.77174071376547704</v>
      </c>
      <c r="L46">
        <v>78</v>
      </c>
    </row>
    <row r="47" spans="1:12" x14ac:dyDescent="0.25">
      <c r="A47" t="s">
        <v>33</v>
      </c>
      <c r="B47" s="4" t="s">
        <v>11</v>
      </c>
      <c r="C47" s="2">
        <v>39</v>
      </c>
      <c r="D47" s="2">
        <v>1464</v>
      </c>
      <c r="E47" s="2">
        <v>5480</v>
      </c>
      <c r="F47" s="2">
        <v>892</v>
      </c>
      <c r="G47" s="2">
        <v>6372</v>
      </c>
      <c r="H47" s="2">
        <v>7875</v>
      </c>
      <c r="I47" s="3">
        <f t="shared" si="7"/>
        <v>4.952380952380952E-3</v>
      </c>
      <c r="J47" s="3">
        <f t="shared" si="8"/>
        <v>0.18590476190476191</v>
      </c>
      <c r="K47" s="3">
        <f t="shared" si="9"/>
        <v>0.80914285714285716</v>
      </c>
      <c r="L47">
        <v>78</v>
      </c>
    </row>
    <row r="48" spans="1:12" x14ac:dyDescent="0.25">
      <c r="A48" t="s">
        <v>33</v>
      </c>
      <c r="B48" s="4" t="s">
        <v>12</v>
      </c>
      <c r="C48" s="2">
        <v>23</v>
      </c>
      <c r="D48" s="2">
        <v>5128</v>
      </c>
      <c r="E48" s="2">
        <v>4649</v>
      </c>
      <c r="F48" s="2">
        <v>433</v>
      </c>
      <c r="G48" s="2">
        <v>5082</v>
      </c>
      <c r="H48" s="2">
        <v>10233</v>
      </c>
      <c r="I48" s="3">
        <f t="shared" si="7"/>
        <v>2.2476302159679467E-3</v>
      </c>
      <c r="J48" s="3">
        <f t="shared" si="8"/>
        <v>0.50112381510798398</v>
      </c>
      <c r="K48" s="3">
        <f t="shared" si="9"/>
        <v>0.49662855467604811</v>
      </c>
      <c r="L48">
        <v>42</v>
      </c>
    </row>
    <row r="49" spans="1:12" x14ac:dyDescent="0.25">
      <c r="A49" t="s">
        <v>33</v>
      </c>
      <c r="B49" s="4" t="s">
        <v>14</v>
      </c>
      <c r="C49" s="2">
        <v>20</v>
      </c>
      <c r="D49" s="2">
        <v>2194</v>
      </c>
      <c r="E49" s="2">
        <v>3756</v>
      </c>
      <c r="F49" s="2">
        <v>429</v>
      </c>
      <c r="G49" s="2">
        <v>4185</v>
      </c>
      <c r="H49" s="2">
        <v>6399</v>
      </c>
      <c r="I49" s="3">
        <f t="shared" si="7"/>
        <v>3.1254883575558682E-3</v>
      </c>
      <c r="J49" s="3">
        <f t="shared" si="8"/>
        <v>0.34286607282387871</v>
      </c>
      <c r="K49" s="3">
        <f t="shared" si="9"/>
        <v>0.65400843881856541</v>
      </c>
      <c r="L49">
        <v>40</v>
      </c>
    </row>
    <row r="50" spans="1:12" x14ac:dyDescent="0.25">
      <c r="A50" t="s">
        <v>33</v>
      </c>
      <c r="B50" s="4" t="s">
        <v>21</v>
      </c>
      <c r="C50" s="2">
        <v>7</v>
      </c>
      <c r="D50" s="2">
        <v>493</v>
      </c>
      <c r="E50" s="2">
        <v>1993</v>
      </c>
      <c r="F50" s="2">
        <v>253</v>
      </c>
      <c r="G50" s="2">
        <v>2246</v>
      </c>
      <c r="H50" s="2">
        <v>2746</v>
      </c>
      <c r="I50" s="3">
        <f t="shared" si="7"/>
        <v>2.5491624180626364E-3</v>
      </c>
      <c r="J50" s="3">
        <f t="shared" si="8"/>
        <v>0.17953386744355426</v>
      </c>
      <c r="K50" s="3">
        <f t="shared" si="9"/>
        <v>0.81791697013838305</v>
      </c>
      <c r="L50">
        <v>6</v>
      </c>
    </row>
    <row r="51" spans="1:12" x14ac:dyDescent="0.25">
      <c r="A51" t="s">
        <v>33</v>
      </c>
      <c r="B51" s="4" t="s">
        <v>19</v>
      </c>
      <c r="C51" s="2">
        <v>159</v>
      </c>
      <c r="D51" s="2">
        <v>1717</v>
      </c>
      <c r="E51" s="2">
        <v>2</v>
      </c>
      <c r="F51" s="2">
        <v>698</v>
      </c>
      <c r="G51" s="2">
        <v>700</v>
      </c>
      <c r="H51" s="2">
        <v>2576</v>
      </c>
      <c r="I51" s="3">
        <f t="shared" si="7"/>
        <v>6.1723602484472048E-2</v>
      </c>
      <c r="J51" s="3">
        <f t="shared" si="8"/>
        <v>0.66653726708074534</v>
      </c>
      <c r="K51" s="3">
        <f t="shared" si="9"/>
        <v>0.27173913043478259</v>
      </c>
      <c r="L51">
        <v>207</v>
      </c>
    </row>
    <row r="52" spans="1:12" x14ac:dyDescent="0.25">
      <c r="A52" t="s">
        <v>33</v>
      </c>
      <c r="B52" s="4" t="s">
        <v>22</v>
      </c>
      <c r="C52" s="2">
        <v>80</v>
      </c>
      <c r="D52" s="2">
        <v>1460</v>
      </c>
      <c r="E52" s="2">
        <v>0</v>
      </c>
      <c r="F52" s="2">
        <v>380</v>
      </c>
      <c r="G52" s="2">
        <v>380</v>
      </c>
      <c r="H52" s="2">
        <v>1920</v>
      </c>
      <c r="I52" s="3">
        <f t="shared" si="7"/>
        <v>4.1666666666666664E-2</v>
      </c>
      <c r="J52" s="3">
        <f t="shared" si="8"/>
        <v>0.76041666666666663</v>
      </c>
      <c r="K52" s="3">
        <f t="shared" si="9"/>
        <v>0.19791666666666666</v>
      </c>
      <c r="L52">
        <v>89</v>
      </c>
    </row>
    <row r="53" spans="1:12" x14ac:dyDescent="0.25">
      <c r="A53" t="s">
        <v>33</v>
      </c>
      <c r="B53" s="4" t="s">
        <v>17</v>
      </c>
      <c r="C53" s="2">
        <v>14</v>
      </c>
      <c r="D53" s="2">
        <v>4887</v>
      </c>
      <c r="E53" s="2">
        <v>1939</v>
      </c>
      <c r="F53" s="2">
        <v>253</v>
      </c>
      <c r="G53" s="2">
        <v>2192</v>
      </c>
      <c r="H53" s="2">
        <v>7093</v>
      </c>
      <c r="I53" s="3">
        <f t="shared" si="7"/>
        <v>1.9737769632031579E-3</v>
      </c>
      <c r="J53" s="3">
        <f t="shared" si="8"/>
        <v>0.68898914422670243</v>
      </c>
      <c r="K53" s="3">
        <f t="shared" si="9"/>
        <v>0.30903707881009446</v>
      </c>
      <c r="L53">
        <v>31</v>
      </c>
    </row>
    <row r="54" spans="1:12" x14ac:dyDescent="0.25">
      <c r="A54" t="s">
        <v>33</v>
      </c>
      <c r="B54" s="4" t="s">
        <v>23</v>
      </c>
      <c r="C54" s="2">
        <v>23</v>
      </c>
      <c r="D54" s="2">
        <v>395</v>
      </c>
      <c r="E54" s="2">
        <v>3068</v>
      </c>
      <c r="F54" s="2">
        <v>143</v>
      </c>
      <c r="G54" s="2">
        <v>3211</v>
      </c>
      <c r="H54" s="2">
        <v>3629</v>
      </c>
      <c r="I54" s="3">
        <f t="shared" si="7"/>
        <v>6.3378341140810143E-3</v>
      </c>
      <c r="J54" s="3">
        <f t="shared" si="8"/>
        <v>0.10884541195921742</v>
      </c>
      <c r="K54" s="3">
        <f t="shared" si="9"/>
        <v>0.88481675392670156</v>
      </c>
      <c r="L54">
        <v>33</v>
      </c>
    </row>
    <row r="55" spans="1:12" x14ac:dyDescent="0.25">
      <c r="A55" t="s">
        <v>33</v>
      </c>
      <c r="B55" t="s">
        <v>15</v>
      </c>
      <c r="C55" s="2">
        <v>69</v>
      </c>
      <c r="D55" s="2">
        <v>3779</v>
      </c>
      <c r="E55" s="2">
        <v>227</v>
      </c>
      <c r="F55" s="2">
        <v>727</v>
      </c>
      <c r="G55" s="2">
        <v>954</v>
      </c>
      <c r="H55" s="2">
        <v>4802</v>
      </c>
      <c r="I55" s="3">
        <f t="shared" si="7"/>
        <v>1.4369012911286963E-2</v>
      </c>
      <c r="J55" s="3">
        <f t="shared" si="8"/>
        <v>0.78696376509787591</v>
      </c>
      <c r="K55" s="3">
        <f t="shared" si="9"/>
        <v>0.19866722199083714</v>
      </c>
      <c r="L55">
        <v>99</v>
      </c>
    </row>
    <row r="56" spans="1:12" x14ac:dyDescent="0.25">
      <c r="A56" t="s">
        <v>33</v>
      </c>
      <c r="B56" s="4" t="s">
        <v>16</v>
      </c>
      <c r="C56" s="2">
        <v>121</v>
      </c>
      <c r="D56" s="2">
        <v>2992</v>
      </c>
      <c r="E56" s="2">
        <v>0</v>
      </c>
      <c r="F56" s="2">
        <v>804</v>
      </c>
      <c r="G56" s="2">
        <v>804</v>
      </c>
      <c r="H56" s="2">
        <v>3917</v>
      </c>
      <c r="I56" s="3">
        <f t="shared" si="7"/>
        <v>3.0890988001021191E-2</v>
      </c>
      <c r="J56" s="3">
        <f t="shared" si="8"/>
        <v>0.76384988511616037</v>
      </c>
      <c r="K56" s="3">
        <f t="shared" si="9"/>
        <v>0.20525912688281847</v>
      </c>
      <c r="L56">
        <v>168</v>
      </c>
    </row>
    <row r="57" spans="1:12" x14ac:dyDescent="0.25">
      <c r="A57" t="s">
        <v>33</v>
      </c>
      <c r="B57" s="4" t="s">
        <v>20</v>
      </c>
      <c r="C57" s="2">
        <v>67</v>
      </c>
      <c r="D57" s="2">
        <v>2206</v>
      </c>
      <c r="E57" s="2">
        <v>8</v>
      </c>
      <c r="F57" s="2">
        <v>660</v>
      </c>
      <c r="G57" s="2">
        <v>668</v>
      </c>
      <c r="H57" s="2">
        <v>2941</v>
      </c>
      <c r="I57" s="3">
        <f t="shared" si="7"/>
        <v>2.2781366882012922E-2</v>
      </c>
      <c r="J57" s="3">
        <f t="shared" si="8"/>
        <v>0.75008500510030607</v>
      </c>
      <c r="K57" s="3">
        <f t="shared" si="9"/>
        <v>0.22713362801768106</v>
      </c>
      <c r="L57">
        <v>96</v>
      </c>
    </row>
    <row r="58" spans="1:12" x14ac:dyDescent="0.25">
      <c r="A58" t="s">
        <v>33</v>
      </c>
      <c r="B58" s="4" t="s">
        <v>18</v>
      </c>
      <c r="C58" s="2">
        <v>110</v>
      </c>
      <c r="D58" s="2">
        <v>2042</v>
      </c>
      <c r="E58" s="2">
        <v>1543</v>
      </c>
      <c r="F58" s="2">
        <v>1262</v>
      </c>
      <c r="G58" s="2">
        <v>2805</v>
      </c>
      <c r="H58" s="2">
        <v>4957</v>
      </c>
      <c r="I58" s="3">
        <f t="shared" si="7"/>
        <v>2.2190841234617713E-2</v>
      </c>
      <c r="J58" s="3">
        <f t="shared" si="8"/>
        <v>0.4119427072826306</v>
      </c>
      <c r="K58" s="3">
        <f t="shared" si="9"/>
        <v>0.56586645148275161</v>
      </c>
      <c r="L58">
        <v>165</v>
      </c>
    </row>
    <row r="59" spans="1:12" x14ac:dyDescent="0.25">
      <c r="A59" t="s">
        <v>33</v>
      </c>
      <c r="B59" s="4" t="s">
        <v>10</v>
      </c>
      <c r="C59" s="2">
        <v>35</v>
      </c>
      <c r="D59" s="2">
        <v>2653</v>
      </c>
      <c r="E59" s="2">
        <v>7245</v>
      </c>
      <c r="F59" s="2">
        <v>639</v>
      </c>
      <c r="G59" s="2">
        <v>7884</v>
      </c>
      <c r="H59" s="2">
        <v>10572</v>
      </c>
      <c r="I59" s="3">
        <f t="shared" si="7"/>
        <v>3.3106318577374198E-3</v>
      </c>
      <c r="J59" s="3">
        <f t="shared" si="8"/>
        <v>0.25094589481649643</v>
      </c>
      <c r="K59" s="3">
        <f t="shared" si="9"/>
        <v>0.74574347332576618</v>
      </c>
      <c r="L59">
        <v>93</v>
      </c>
    </row>
    <row r="60" spans="1:12" x14ac:dyDescent="0.25">
      <c r="A60" t="s">
        <v>33</v>
      </c>
      <c r="B60" s="4" t="s">
        <v>24</v>
      </c>
      <c r="C60" s="2">
        <v>12</v>
      </c>
      <c r="D60" s="2">
        <v>634</v>
      </c>
      <c r="E60" s="2">
        <v>1640</v>
      </c>
      <c r="F60" s="2">
        <v>270</v>
      </c>
      <c r="G60" s="2">
        <v>1910</v>
      </c>
      <c r="H60" s="2">
        <v>2556</v>
      </c>
      <c r="I60" s="3">
        <f t="shared" si="7"/>
        <v>4.6948356807511738E-3</v>
      </c>
      <c r="J60" s="3">
        <f t="shared" si="8"/>
        <v>0.24804381846635368</v>
      </c>
      <c r="K60" s="3">
        <f t="shared" si="9"/>
        <v>0.74726134585289516</v>
      </c>
      <c r="L60">
        <v>20</v>
      </c>
    </row>
    <row r="61" spans="1:12" x14ac:dyDescent="0.25">
      <c r="A61" t="s">
        <v>33</v>
      </c>
      <c r="B61" s="4" t="s">
        <v>25</v>
      </c>
      <c r="C61" s="2">
        <v>44</v>
      </c>
      <c r="D61" s="2">
        <v>1716</v>
      </c>
      <c r="E61" s="2">
        <v>700</v>
      </c>
      <c r="F61" s="2">
        <v>699</v>
      </c>
      <c r="G61" s="2">
        <v>1399</v>
      </c>
      <c r="H61" s="2">
        <v>3159</v>
      </c>
      <c r="I61" s="3">
        <f t="shared" si="7"/>
        <v>1.3928458372902817E-2</v>
      </c>
      <c r="J61" s="3">
        <f t="shared" si="8"/>
        <v>0.54320987654320985</v>
      </c>
      <c r="K61" s="3">
        <f t="shared" si="9"/>
        <v>0.4428616650838873</v>
      </c>
      <c r="L61">
        <v>57</v>
      </c>
    </row>
    <row r="62" spans="1:12" x14ac:dyDescent="0.25">
      <c r="A62" t="s">
        <v>33</v>
      </c>
      <c r="B62" s="4" t="s">
        <v>27</v>
      </c>
      <c r="C62" s="2">
        <v>42</v>
      </c>
      <c r="D62" s="2">
        <v>2138</v>
      </c>
      <c r="E62" s="2">
        <v>1753</v>
      </c>
      <c r="F62" s="2">
        <v>956</v>
      </c>
      <c r="G62" s="2">
        <v>2709</v>
      </c>
      <c r="H62" s="2">
        <v>4889</v>
      </c>
      <c r="I62" s="3">
        <f t="shared" si="7"/>
        <v>8.5907138474125583E-3</v>
      </c>
      <c r="J62" s="3">
        <f t="shared" si="8"/>
        <v>0.4373082429944774</v>
      </c>
      <c r="K62" s="3">
        <f t="shared" si="9"/>
        <v>0.55410104315811004</v>
      </c>
      <c r="L62">
        <v>64</v>
      </c>
    </row>
    <row r="63" spans="1:12" x14ac:dyDescent="0.25">
      <c r="A63" t="s">
        <v>33</v>
      </c>
      <c r="B63" t="s">
        <v>26</v>
      </c>
      <c r="C63" s="2">
        <v>6</v>
      </c>
      <c r="D63" s="2">
        <v>1159</v>
      </c>
      <c r="E63" s="2">
        <v>1990</v>
      </c>
      <c r="F63" s="2">
        <v>253</v>
      </c>
      <c r="G63" s="2">
        <v>2243</v>
      </c>
      <c r="H63" s="2">
        <v>3408</v>
      </c>
      <c r="I63" s="3">
        <f t="shared" si="7"/>
        <v>1.7605633802816902E-3</v>
      </c>
      <c r="J63" s="3">
        <f t="shared" si="8"/>
        <v>0.34008215962441313</v>
      </c>
      <c r="K63" s="3">
        <f t="shared" si="9"/>
        <v>0.65815727699530513</v>
      </c>
      <c r="L63">
        <v>35</v>
      </c>
    </row>
    <row r="64" spans="1:12" x14ac:dyDescent="0.25">
      <c r="A64" t="s">
        <v>33</v>
      </c>
      <c r="B64" t="s">
        <v>29</v>
      </c>
      <c r="C64" s="2">
        <v>37</v>
      </c>
      <c r="D64" s="2">
        <v>1148</v>
      </c>
      <c r="E64" s="2">
        <v>12</v>
      </c>
      <c r="F64" s="2">
        <v>379</v>
      </c>
      <c r="G64" s="2">
        <v>391</v>
      </c>
      <c r="H64" s="2">
        <v>1576</v>
      </c>
      <c r="I64" s="3">
        <f t="shared" si="7"/>
        <v>2.3477157360406092E-2</v>
      </c>
      <c r="J64" s="3">
        <f t="shared" si="8"/>
        <v>0.72842639593908631</v>
      </c>
      <c r="K64" s="3">
        <f t="shared" si="9"/>
        <v>0.24809644670050762</v>
      </c>
      <c r="L64">
        <v>55</v>
      </c>
    </row>
    <row r="65" spans="1:12" x14ac:dyDescent="0.25">
      <c r="A65" t="s">
        <v>33</v>
      </c>
      <c r="B65" s="4" t="s">
        <v>30</v>
      </c>
      <c r="C65" s="2">
        <v>16</v>
      </c>
      <c r="D65" s="2">
        <v>1136</v>
      </c>
      <c r="E65" s="2">
        <v>2246</v>
      </c>
      <c r="F65" s="2">
        <v>461</v>
      </c>
      <c r="G65" s="2">
        <v>2707</v>
      </c>
      <c r="H65" s="2">
        <v>3859</v>
      </c>
      <c r="I65" s="3">
        <f t="shared" si="7"/>
        <v>4.1461518528116094E-3</v>
      </c>
      <c r="J65" s="3">
        <f t="shared" si="8"/>
        <v>0.29437678154962427</v>
      </c>
      <c r="K65" s="3">
        <f t="shared" si="9"/>
        <v>0.70147706659756415</v>
      </c>
      <c r="L65">
        <v>24</v>
      </c>
    </row>
    <row r="66" spans="1:12" x14ac:dyDescent="0.25">
      <c r="A66" t="s">
        <v>33</v>
      </c>
      <c r="B66" s="4" t="s">
        <v>31</v>
      </c>
      <c r="C66" s="2">
        <v>7</v>
      </c>
      <c r="D66" s="2">
        <v>686</v>
      </c>
      <c r="E66" s="2">
        <v>876</v>
      </c>
      <c r="F66" s="2">
        <v>155</v>
      </c>
      <c r="G66" s="2">
        <v>1031</v>
      </c>
      <c r="H66" s="2">
        <v>1724</v>
      </c>
      <c r="I66" s="3">
        <f t="shared" si="7"/>
        <v>4.0603248259860787E-3</v>
      </c>
      <c r="J66" s="3">
        <f t="shared" si="8"/>
        <v>0.39791183294663574</v>
      </c>
      <c r="K66" s="3">
        <f t="shared" si="9"/>
        <v>0.59802784222737815</v>
      </c>
      <c r="L66">
        <v>13</v>
      </c>
    </row>
    <row r="67" spans="1:12" x14ac:dyDescent="0.25">
      <c r="A67" t="s">
        <v>33</v>
      </c>
      <c r="B67" s="4" t="s">
        <v>28</v>
      </c>
      <c r="C67" s="2">
        <v>36</v>
      </c>
      <c r="D67" s="2">
        <v>1372</v>
      </c>
      <c r="E67" s="2">
        <v>9288</v>
      </c>
      <c r="F67" s="2">
        <v>437</v>
      </c>
      <c r="G67" s="2">
        <v>9725</v>
      </c>
      <c r="H67" s="2">
        <v>11133</v>
      </c>
      <c r="I67" s="3">
        <f t="shared" si="7"/>
        <v>3.2336297493936943E-3</v>
      </c>
      <c r="J67" s="3">
        <f t="shared" si="8"/>
        <v>0.12323722267133747</v>
      </c>
      <c r="K67" s="3">
        <f t="shared" si="9"/>
        <v>0.87352914757926881</v>
      </c>
      <c r="L67">
        <v>60</v>
      </c>
    </row>
  </sheetData>
  <autoFilter ref="A1:O67" xr:uid="{98172F32-28CE-41FB-8E3E-12B862380F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2026-03-09T13:16:25Z</dcterms:created>
  <dcterms:modified xsi:type="dcterms:W3CDTF">2026-03-09T13:34:59Z</dcterms:modified>
</cp:coreProperties>
</file>
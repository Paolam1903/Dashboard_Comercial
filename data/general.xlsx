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4 Abril/Dasboatdde marzo/data/"/>
    </mc:Choice>
  </mc:AlternateContent>
  <xr:revisionPtr revIDLastSave="81" documentId="8_{D38F4008-6566-4043-A2A6-318D4F91697F}" xr6:coauthVersionLast="47" xr6:coauthVersionMax="47" xr10:uidLastSave="{827E7EFF-C44D-46D5-AA95-E9E6C6768738}"/>
  <bookViews>
    <workbookView xWindow="-120" yWindow="-120" windowWidth="29040" windowHeight="15720" xr2:uid="{F008453E-1A06-40CE-9AA2-8079F823278A}"/>
  </bookViews>
  <sheets>
    <sheet name="Cumplimiento CV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" l="1"/>
  <c r="V14" i="1"/>
  <c r="V15" i="1"/>
  <c r="V19" i="1"/>
  <c r="V20" i="1"/>
  <c r="V21" i="1"/>
  <c r="V22" i="1"/>
  <c r="V23" i="1"/>
  <c r="T24" i="1"/>
  <c r="R24" i="1"/>
  <c r="Q24" i="1"/>
  <c r="O24" i="1"/>
  <c r="N24" i="1"/>
  <c r="L24" i="1"/>
  <c r="M24" i="1" s="1"/>
  <c r="K24" i="1"/>
  <c r="I24" i="1"/>
  <c r="H24" i="1"/>
  <c r="F24" i="1"/>
  <c r="E24" i="1"/>
  <c r="C24" i="1"/>
  <c r="B24" i="1"/>
  <c r="P23" i="1"/>
  <c r="P22" i="1"/>
  <c r="P21" i="1"/>
  <c r="P20" i="1"/>
  <c r="P19" i="1"/>
  <c r="V18" i="1"/>
  <c r="P18" i="1"/>
  <c r="V17" i="1"/>
  <c r="P17" i="1"/>
  <c r="V16" i="1"/>
  <c r="P16" i="1"/>
  <c r="P15" i="1"/>
  <c r="P14" i="1"/>
  <c r="V13" i="1"/>
  <c r="P13" i="1"/>
  <c r="P12" i="1"/>
  <c r="V11" i="1"/>
  <c r="P11" i="1"/>
  <c r="V10" i="1"/>
  <c r="P10" i="1"/>
  <c r="V9" i="1"/>
  <c r="P9" i="1"/>
  <c r="V8" i="1"/>
  <c r="P8" i="1"/>
  <c r="V7" i="1"/>
  <c r="P7" i="1"/>
  <c r="V6" i="1"/>
  <c r="P6" i="1"/>
  <c r="V5" i="1"/>
  <c r="P5" i="1"/>
  <c r="V4" i="1"/>
  <c r="P4" i="1"/>
  <c r="V3" i="1"/>
  <c r="P2" i="1"/>
  <c r="U24" i="1" l="1"/>
  <c r="V24" i="1" s="1"/>
  <c r="V2" i="1"/>
  <c r="D24" i="1"/>
  <c r="P24" i="1"/>
  <c r="J24" i="1"/>
  <c r="G24" i="1"/>
  <c r="S24" i="1"/>
</calcChain>
</file>

<file path=xl/sharedStrings.xml><?xml version="1.0" encoding="utf-8"?>
<sst xmlns="http://schemas.openxmlformats.org/spreadsheetml/2006/main" count="45" uniqueCount="33">
  <si>
    <t>CVS</t>
  </si>
  <si>
    <t>Meta en puntos</t>
  </si>
  <si>
    <t>Ejecutado</t>
  </si>
  <si>
    <t>% Cump.</t>
  </si>
  <si>
    <t>Postpago</t>
  </si>
  <si>
    <t>Terminales</t>
  </si>
  <si>
    <t>Hogar</t>
  </si>
  <si>
    <t>CVS PLUS</t>
  </si>
  <si>
    <t>Otros</t>
  </si>
  <si>
    <t>Accesorios</t>
  </si>
  <si>
    <t>BARBOSA</t>
  </si>
  <si>
    <t>CAUCASIA</t>
  </si>
  <si>
    <t>CIUDAD BOLIVAR</t>
  </si>
  <si>
    <t>BELLO</t>
  </si>
  <si>
    <t>DABEIBA</t>
  </si>
  <si>
    <t>CALDAS</t>
  </si>
  <si>
    <t>DON MATIAS</t>
  </si>
  <si>
    <t>EL BAGRE</t>
  </si>
  <si>
    <t>FRONTINO</t>
  </si>
  <si>
    <t>COPACABANA</t>
  </si>
  <si>
    <t>GIRARDOTA</t>
  </si>
  <si>
    <t>LA ESTRELLA</t>
  </si>
  <si>
    <t>NECHI</t>
  </si>
  <si>
    <t>PRADO</t>
  </si>
  <si>
    <t>ENVIGADO</t>
  </si>
  <si>
    <t>SEGOVIA</t>
  </si>
  <si>
    <t>YARUMAL</t>
  </si>
  <si>
    <t>ZARAGOZA</t>
  </si>
  <si>
    <t>ITAGUI</t>
  </si>
  <si>
    <t>JUNIN</t>
  </si>
  <si>
    <t>SABANETA</t>
  </si>
  <si>
    <t>TERMINAL NORTE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</si>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</sst>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" fontId="2" fillId="7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" fontId="2" fillId="8" borderId="0" xfId="0" applyNumberFormat="1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9" fontId="3" fillId="0" borderId="0" xfId="2" applyFont="1" applyBorder="1" applyAlignment="1">
      <alignment horizontal="center"/>
    </xf>
    <xf numFmtId="9" fontId="3" fillId="0" borderId="0" xfId="2" applyFont="1" applyBorder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2" fillId="2" borderId="0" xfId="1" applyNumberFormat="1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11AD-16C4-4282-9173-A244A832C30F}">
  <sheetPr>
    <tabColor theme="5" tint="0.59999389629810485"/>
  </sheetPr>
  <dimension ref="A1:V24"/>
  <sheetViews>
    <sheetView tabSelected="1" workbookViewId="0">
      <selection activeCell="E7" sqref="E7"/>
    </sheetView>
  </sheetViews>
  <sheetFormatPr baseColWidth="10" defaultRowHeight="15" x14ac:dyDescent="0.25"/>
  <cols>
    <col min="1" max="1" width="20.85546875" customWidth="1"/>
    <col min="2" max="2" width="15.42578125" customWidth="1"/>
    <col min="3" max="3" width="12.140625" style="23" customWidth="1"/>
    <col min="4" max="4" width="12.140625" customWidth="1"/>
    <col min="5" max="6" width="10.7109375" customWidth="1"/>
    <col min="7" max="7" width="9.140625" customWidth="1"/>
    <col min="8" max="10" width="13.42578125" customWidth="1"/>
    <col min="11" max="11" width="8.28515625" customWidth="1"/>
    <col min="12" max="12" width="10.7109375" customWidth="1"/>
    <col min="13" max="13" width="9.42578125" customWidth="1"/>
    <col min="14" max="16" width="10" customWidth="1"/>
    <col min="17" max="17" width="8.5703125" customWidth="1"/>
    <col min="18" max="18" width="10.7109375" customWidth="1"/>
    <col min="19" max="19" width="9.42578125" customWidth="1"/>
    <col min="20" max="21" width="21" style="24" customWidth="1"/>
    <col min="22" max="22" width="11.42578125" customWidth="1"/>
  </cols>
  <sheetData>
    <row r="1" spans="1:22" ht="16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2</v>
      </c>
      <c r="G1" s="5" t="s">
        <v>3</v>
      </c>
      <c r="H1" s="6" t="s">
        <v>5</v>
      </c>
      <c r="I1" s="7" t="s">
        <v>2</v>
      </c>
      <c r="J1" s="7" t="s">
        <v>3</v>
      </c>
      <c r="K1" s="8" t="s">
        <v>6</v>
      </c>
      <c r="L1" s="9" t="s">
        <v>2</v>
      </c>
      <c r="M1" s="9" t="s">
        <v>3</v>
      </c>
      <c r="N1" s="10" t="s">
        <v>7</v>
      </c>
      <c r="O1" s="11" t="s">
        <v>2</v>
      </c>
      <c r="P1" s="11" t="s">
        <v>3</v>
      </c>
      <c r="Q1" s="12" t="s">
        <v>8</v>
      </c>
      <c r="R1" s="13" t="s">
        <v>2</v>
      </c>
      <c r="S1" s="13" t="s">
        <v>3</v>
      </c>
      <c r="T1" s="25" t="s">
        <v>9</v>
      </c>
      <c r="U1" s="14" t="s">
        <v>2</v>
      </c>
      <c r="V1" s="13" t="s">
        <v>3</v>
      </c>
    </row>
    <row r="2" spans="1:22" ht="15.75" x14ac:dyDescent="0.25">
      <c r="A2" s="15" t="s">
        <v>10</v>
      </c>
      <c r="B2" s="16">
        <v>2400</v>
      </c>
      <c r="C2">
        <v>2666.0699999999993</v>
      </c>
      <c r="D2" s="18">
        <v>1.1108624999999996</v>
      </c>
      <c r="E2" s="16">
        <v>37</v>
      </c>
      <c r="F2" s="16">
        <v>33</v>
      </c>
      <c r="G2" s="18">
        <v>0.89189189189189189</v>
      </c>
      <c r="H2" s="17">
        <v>82</v>
      </c>
      <c r="I2" s="17">
        <v>74</v>
      </c>
      <c r="J2" s="18">
        <v>0.90243902439024393</v>
      </c>
      <c r="K2" s="16">
        <v>6</v>
      </c>
      <c r="L2" s="16">
        <v>11</v>
      </c>
      <c r="M2" s="18">
        <v>1.8333333333333333</v>
      </c>
      <c r="N2" s="16">
        <v>1500</v>
      </c>
      <c r="O2" s="16"/>
      <c r="P2" s="18">
        <f>O2/N2</f>
        <v>0</v>
      </c>
      <c r="Q2" s="16">
        <v>95</v>
      </c>
      <c r="R2" s="16">
        <v>110</v>
      </c>
      <c r="S2" s="18">
        <v>1.1578947368421053</v>
      </c>
      <c r="T2" s="24">
        <v>9500000</v>
      </c>
      <c r="U2" s="24">
        <v>7033084</v>
      </c>
      <c r="V2" s="19">
        <f>U2/T2</f>
        <v>0.74032463157894735</v>
      </c>
    </row>
    <row r="3" spans="1:22" ht="15.75" x14ac:dyDescent="0.25">
      <c r="A3" s="15" t="s">
        <v>11</v>
      </c>
      <c r="B3" s="16">
        <v>2850</v>
      </c>
      <c r="C3">
        <v>2526.659999999998</v>
      </c>
      <c r="D3" s="18">
        <v>0.88654736842105197</v>
      </c>
      <c r="E3" s="16">
        <v>52</v>
      </c>
      <c r="F3" s="16">
        <v>44</v>
      </c>
      <c r="G3" s="18">
        <v>0.84615384615384615</v>
      </c>
      <c r="H3" s="17">
        <v>50</v>
      </c>
      <c r="I3" s="17">
        <v>32</v>
      </c>
      <c r="J3" s="18">
        <v>0.64</v>
      </c>
      <c r="K3" s="16">
        <v>10</v>
      </c>
      <c r="L3" s="16">
        <v>17</v>
      </c>
      <c r="M3" s="18">
        <v>1.7</v>
      </c>
      <c r="N3" s="16">
        <v>0</v>
      </c>
      <c r="O3" s="16"/>
      <c r="P3" s="18">
        <v>0</v>
      </c>
      <c r="Q3" s="16">
        <v>32</v>
      </c>
      <c r="R3" s="16">
        <v>21</v>
      </c>
      <c r="S3" s="18">
        <v>0.65625</v>
      </c>
      <c r="T3" s="24">
        <v>5500000</v>
      </c>
      <c r="U3" s="24">
        <v>1707900</v>
      </c>
      <c r="V3" s="19">
        <f t="shared" ref="V3:V24" si="0">U3/T3</f>
        <v>0.31052727272727271</v>
      </c>
    </row>
    <row r="4" spans="1:22" ht="15.75" x14ac:dyDescent="0.25">
      <c r="A4" s="15" t="s">
        <v>12</v>
      </c>
      <c r="B4" s="16">
        <v>3500</v>
      </c>
      <c r="C4">
        <v>3744.9599999999996</v>
      </c>
      <c r="D4" s="18">
        <v>1.0699885714285713</v>
      </c>
      <c r="E4" s="16">
        <v>62</v>
      </c>
      <c r="F4" s="16">
        <v>74</v>
      </c>
      <c r="G4" s="18">
        <v>1.1935483870967742</v>
      </c>
      <c r="H4" s="17">
        <v>65</v>
      </c>
      <c r="I4" s="17">
        <v>59</v>
      </c>
      <c r="J4" s="18">
        <v>0.90769230769230769</v>
      </c>
      <c r="K4" s="16">
        <v>10</v>
      </c>
      <c r="L4" s="16">
        <v>12</v>
      </c>
      <c r="M4" s="18">
        <v>1.2</v>
      </c>
      <c r="N4" s="16">
        <v>800</v>
      </c>
      <c r="O4" s="16"/>
      <c r="P4" s="18">
        <f t="shared" ref="P4:P24" si="1">O4/N4</f>
        <v>0</v>
      </c>
      <c r="Q4" s="16">
        <v>135</v>
      </c>
      <c r="R4" s="16">
        <v>144</v>
      </c>
      <c r="S4" s="18">
        <v>1.0666666666666667</v>
      </c>
      <c r="T4" s="24">
        <v>12000000</v>
      </c>
      <c r="U4" s="24">
        <v>4067000</v>
      </c>
      <c r="V4" s="19">
        <f t="shared" si="0"/>
        <v>0.33891666666666664</v>
      </c>
    </row>
    <row r="5" spans="1:22" ht="15.75" x14ac:dyDescent="0.25">
      <c r="A5" s="15" t="s">
        <v>14</v>
      </c>
      <c r="B5" s="16">
        <v>1350</v>
      </c>
      <c r="C5">
        <v>672.53000000000009</v>
      </c>
      <c r="D5" s="18">
        <v>0.49817037037037043</v>
      </c>
      <c r="E5" s="16">
        <v>12</v>
      </c>
      <c r="F5" s="16">
        <v>8</v>
      </c>
      <c r="G5" s="18">
        <v>0.66666666666666663</v>
      </c>
      <c r="H5" s="17">
        <v>50</v>
      </c>
      <c r="I5" s="17">
        <v>52</v>
      </c>
      <c r="J5" s="18">
        <v>1.04</v>
      </c>
      <c r="K5" s="16">
        <v>4</v>
      </c>
      <c r="L5" s="16">
        <v>0</v>
      </c>
      <c r="M5" s="18">
        <v>0</v>
      </c>
      <c r="N5" s="16">
        <v>1200</v>
      </c>
      <c r="O5" s="16"/>
      <c r="P5" s="18">
        <f t="shared" si="1"/>
        <v>0</v>
      </c>
      <c r="Q5" s="16">
        <v>69</v>
      </c>
      <c r="R5" s="16">
        <v>84</v>
      </c>
      <c r="S5" s="18">
        <v>1.2173913043478262</v>
      </c>
      <c r="T5" s="24">
        <v>4000000</v>
      </c>
      <c r="U5" s="24">
        <v>3017000</v>
      </c>
      <c r="V5" s="19">
        <f t="shared" si="0"/>
        <v>0.75424999999999998</v>
      </c>
    </row>
    <row r="6" spans="1:22" ht="15.75" x14ac:dyDescent="0.25">
      <c r="A6" s="15" t="s">
        <v>16</v>
      </c>
      <c r="B6" s="16">
        <v>1700</v>
      </c>
      <c r="C6">
        <v>1473.0499999999997</v>
      </c>
      <c r="D6" s="18">
        <v>0.86649999999999983</v>
      </c>
      <c r="E6" s="16">
        <v>33</v>
      </c>
      <c r="F6" s="16">
        <v>18</v>
      </c>
      <c r="G6" s="18">
        <v>0.54545454545454541</v>
      </c>
      <c r="H6" s="17">
        <v>45</v>
      </c>
      <c r="I6" s="17">
        <v>45</v>
      </c>
      <c r="J6" s="18">
        <v>1</v>
      </c>
      <c r="K6" s="16">
        <v>1</v>
      </c>
      <c r="L6" s="16">
        <v>2</v>
      </c>
      <c r="M6" s="18">
        <v>2</v>
      </c>
      <c r="N6" s="16">
        <v>1200</v>
      </c>
      <c r="O6" s="16"/>
      <c r="P6" s="18">
        <f t="shared" si="1"/>
        <v>0</v>
      </c>
      <c r="Q6" s="16">
        <v>68</v>
      </c>
      <c r="R6" s="16">
        <v>84</v>
      </c>
      <c r="S6" s="18">
        <v>1.2352941176470589</v>
      </c>
      <c r="T6" s="24">
        <v>6000000</v>
      </c>
      <c r="U6" s="24">
        <v>5744606</v>
      </c>
      <c r="V6" s="19">
        <f t="shared" si="0"/>
        <v>0.95743433333333339</v>
      </c>
    </row>
    <row r="7" spans="1:22" ht="15.75" x14ac:dyDescent="0.25">
      <c r="A7" s="15" t="s">
        <v>17</v>
      </c>
      <c r="B7" s="16">
        <v>2800</v>
      </c>
      <c r="C7">
        <v>3858.6099999999979</v>
      </c>
      <c r="D7" s="18">
        <v>1.3780749999999993</v>
      </c>
      <c r="E7" s="16">
        <v>47</v>
      </c>
      <c r="F7" s="16">
        <v>55</v>
      </c>
      <c r="G7" s="18">
        <v>1.1702127659574468</v>
      </c>
      <c r="H7" s="17">
        <v>160</v>
      </c>
      <c r="I7" s="17">
        <v>114</v>
      </c>
      <c r="J7" s="18">
        <v>0.71250000000000002</v>
      </c>
      <c r="K7" s="16">
        <v>10</v>
      </c>
      <c r="L7" s="16">
        <v>17</v>
      </c>
      <c r="M7" s="18">
        <v>1.7</v>
      </c>
      <c r="N7" s="16">
        <v>1500</v>
      </c>
      <c r="O7" s="16"/>
      <c r="P7" s="18">
        <f t="shared" si="1"/>
        <v>0</v>
      </c>
      <c r="Q7" s="16">
        <v>176</v>
      </c>
      <c r="R7" s="16">
        <v>191</v>
      </c>
      <c r="S7" s="18">
        <v>1.0852272727272727</v>
      </c>
      <c r="T7" s="24">
        <v>11000000</v>
      </c>
      <c r="U7" s="24">
        <v>7699000</v>
      </c>
      <c r="V7" s="19">
        <f t="shared" si="0"/>
        <v>0.69990909090909093</v>
      </c>
    </row>
    <row r="8" spans="1:22" ht="15.75" x14ac:dyDescent="0.25">
      <c r="A8" s="15" t="s">
        <v>18</v>
      </c>
      <c r="B8" s="16">
        <v>1450</v>
      </c>
      <c r="C8">
        <v>1512.6199999999997</v>
      </c>
      <c r="D8" s="18">
        <v>1.0431862068965514</v>
      </c>
      <c r="E8" s="16">
        <v>18</v>
      </c>
      <c r="F8" s="16">
        <v>18</v>
      </c>
      <c r="G8" s="18">
        <v>1</v>
      </c>
      <c r="H8" s="17">
        <v>140</v>
      </c>
      <c r="I8" s="17">
        <v>106</v>
      </c>
      <c r="J8" s="18">
        <v>0.75714285714285712</v>
      </c>
      <c r="K8" s="16">
        <v>1</v>
      </c>
      <c r="L8" s="16">
        <v>0</v>
      </c>
      <c r="M8" s="18">
        <v>0</v>
      </c>
      <c r="N8" s="16">
        <v>1500</v>
      </c>
      <c r="O8" s="16"/>
      <c r="P8" s="18">
        <f t="shared" si="1"/>
        <v>0</v>
      </c>
      <c r="Q8" s="16">
        <v>98</v>
      </c>
      <c r="R8" s="16">
        <v>70</v>
      </c>
      <c r="S8" s="18">
        <v>0.7142857142857143</v>
      </c>
      <c r="T8" s="24">
        <v>3000000</v>
      </c>
      <c r="U8" s="24">
        <v>6847000</v>
      </c>
      <c r="V8" s="19">
        <f t="shared" si="0"/>
        <v>2.2823333333333333</v>
      </c>
    </row>
    <row r="9" spans="1:22" ht="15.75" x14ac:dyDescent="0.25">
      <c r="A9" s="15" t="s">
        <v>20</v>
      </c>
      <c r="B9" s="16">
        <v>1500</v>
      </c>
      <c r="C9">
        <v>1596.4099999999989</v>
      </c>
      <c r="D9" s="18">
        <v>1.0642733333333327</v>
      </c>
      <c r="E9" s="16">
        <v>37</v>
      </c>
      <c r="F9" s="16">
        <v>38</v>
      </c>
      <c r="G9" s="18">
        <v>1.027027027027027</v>
      </c>
      <c r="H9" s="17">
        <v>56</v>
      </c>
      <c r="I9" s="17">
        <v>51</v>
      </c>
      <c r="J9" s="18">
        <v>0.9107142857142857</v>
      </c>
      <c r="K9" s="16">
        <v>1</v>
      </c>
      <c r="L9" s="16">
        <v>2</v>
      </c>
      <c r="M9" s="18">
        <v>2</v>
      </c>
      <c r="N9" s="16">
        <v>1200</v>
      </c>
      <c r="O9" s="16"/>
      <c r="P9" s="18">
        <f t="shared" si="1"/>
        <v>0</v>
      </c>
      <c r="Q9" s="16">
        <v>128</v>
      </c>
      <c r="R9" s="16">
        <v>147</v>
      </c>
      <c r="S9" s="18">
        <v>1.1484375</v>
      </c>
      <c r="T9" s="24">
        <v>5500000</v>
      </c>
      <c r="U9" s="24">
        <v>4847900</v>
      </c>
      <c r="V9" s="19">
        <f t="shared" si="0"/>
        <v>0.88143636363636368</v>
      </c>
    </row>
    <row r="10" spans="1:22" ht="15.75" x14ac:dyDescent="0.25">
      <c r="A10" s="15" t="s">
        <v>21</v>
      </c>
      <c r="B10" s="16">
        <v>4000</v>
      </c>
      <c r="C10">
        <v>3183.61</v>
      </c>
      <c r="D10" s="18">
        <v>0.79590250000000007</v>
      </c>
      <c r="E10" s="16">
        <v>42</v>
      </c>
      <c r="F10" s="16">
        <v>66</v>
      </c>
      <c r="G10" s="18">
        <v>1.5714285714285714</v>
      </c>
      <c r="H10" s="17">
        <v>25</v>
      </c>
      <c r="I10" s="17">
        <v>21</v>
      </c>
      <c r="J10" s="18">
        <v>0.84</v>
      </c>
      <c r="K10" s="16">
        <v>1</v>
      </c>
      <c r="L10" s="16">
        <v>4</v>
      </c>
      <c r="M10" s="18">
        <v>4</v>
      </c>
      <c r="N10" s="16">
        <v>1200</v>
      </c>
      <c r="O10" s="16"/>
      <c r="P10" s="18">
        <f t="shared" si="1"/>
        <v>0</v>
      </c>
      <c r="Q10" s="16">
        <v>54</v>
      </c>
      <c r="R10" s="16">
        <v>77</v>
      </c>
      <c r="S10" s="18">
        <v>1.4259259259259258</v>
      </c>
      <c r="T10" s="24">
        <v>10000000</v>
      </c>
      <c r="U10" s="24">
        <v>947000</v>
      </c>
      <c r="V10" s="19">
        <f t="shared" si="0"/>
        <v>9.4700000000000006E-2</v>
      </c>
    </row>
    <row r="11" spans="1:22" ht="15.75" x14ac:dyDescent="0.25">
      <c r="A11" s="15" t="s">
        <v>22</v>
      </c>
      <c r="B11" s="16">
        <v>3500</v>
      </c>
      <c r="C11">
        <v>3098.2899999999986</v>
      </c>
      <c r="D11" s="18">
        <v>0.88522571428571384</v>
      </c>
      <c r="E11" s="16">
        <v>78</v>
      </c>
      <c r="F11" s="16">
        <v>74</v>
      </c>
      <c r="G11" s="18">
        <v>0.94871794871794868</v>
      </c>
      <c r="H11" s="17">
        <v>82</v>
      </c>
      <c r="I11" s="17">
        <v>65</v>
      </c>
      <c r="J11" s="18">
        <v>0.79268292682926833</v>
      </c>
      <c r="K11" s="16">
        <v>16</v>
      </c>
      <c r="L11" s="16">
        <v>24</v>
      </c>
      <c r="M11" s="18">
        <v>1.5</v>
      </c>
      <c r="N11" s="16">
        <v>800</v>
      </c>
      <c r="O11" s="16"/>
      <c r="P11" s="18">
        <f t="shared" si="1"/>
        <v>0</v>
      </c>
      <c r="Q11" s="16">
        <v>60</v>
      </c>
      <c r="R11" s="16">
        <v>72</v>
      </c>
      <c r="S11" s="18">
        <v>1.2</v>
      </c>
      <c r="T11" s="24">
        <v>4000000</v>
      </c>
      <c r="U11" s="24">
        <v>3478000</v>
      </c>
      <c r="V11" s="19">
        <f t="shared" si="0"/>
        <v>0.86950000000000005</v>
      </c>
    </row>
    <row r="12" spans="1:22" ht="15.75" x14ac:dyDescent="0.25">
      <c r="A12" s="15" t="s">
        <v>23</v>
      </c>
      <c r="B12" s="16">
        <v>2600</v>
      </c>
      <c r="C12">
        <v>2256.5700000000002</v>
      </c>
      <c r="D12" s="18">
        <v>0.86791153846153857</v>
      </c>
      <c r="E12" s="16">
        <v>26</v>
      </c>
      <c r="F12" s="16">
        <v>24</v>
      </c>
      <c r="G12" s="18">
        <v>0.92307692307692313</v>
      </c>
      <c r="H12" s="17">
        <v>30</v>
      </c>
      <c r="I12" s="17">
        <v>36</v>
      </c>
      <c r="J12" s="18">
        <v>1.2</v>
      </c>
      <c r="K12" s="16">
        <v>1</v>
      </c>
      <c r="L12" s="16">
        <v>0</v>
      </c>
      <c r="M12" s="18">
        <v>0</v>
      </c>
      <c r="N12" s="16">
        <v>1200</v>
      </c>
      <c r="O12" s="16"/>
      <c r="P12" s="18">
        <f t="shared" si="1"/>
        <v>0</v>
      </c>
      <c r="Q12" s="16">
        <v>74</v>
      </c>
      <c r="R12" s="16">
        <v>72</v>
      </c>
      <c r="S12" s="18">
        <v>0.97297297297297303</v>
      </c>
      <c r="T12" s="24">
        <v>12000000</v>
      </c>
      <c r="U12" s="24">
        <v>928000</v>
      </c>
      <c r="V12" s="19">
        <f t="shared" si="0"/>
        <v>7.7333333333333337E-2</v>
      </c>
    </row>
    <row r="13" spans="1:22" ht="15.75" x14ac:dyDescent="0.25">
      <c r="A13" s="15" t="s">
        <v>25</v>
      </c>
      <c r="B13" s="16">
        <v>2000</v>
      </c>
      <c r="C13">
        <v>1984.9700000000003</v>
      </c>
      <c r="D13" s="18">
        <v>0.99248500000000017</v>
      </c>
      <c r="E13" s="16">
        <v>32</v>
      </c>
      <c r="F13" s="16">
        <v>38</v>
      </c>
      <c r="G13" s="18">
        <v>1.1875</v>
      </c>
      <c r="H13" s="17">
        <v>60</v>
      </c>
      <c r="I13" s="17">
        <v>51</v>
      </c>
      <c r="J13" s="18">
        <v>0.85</v>
      </c>
      <c r="K13" s="16">
        <v>6</v>
      </c>
      <c r="L13" s="16">
        <v>5</v>
      </c>
      <c r="M13" s="18">
        <v>0.83333333333333337</v>
      </c>
      <c r="N13" s="16">
        <v>1200</v>
      </c>
      <c r="O13" s="16"/>
      <c r="P13" s="18">
        <f t="shared" si="1"/>
        <v>0</v>
      </c>
      <c r="Q13" s="16">
        <v>183</v>
      </c>
      <c r="R13" s="16">
        <v>268</v>
      </c>
      <c r="S13" s="18">
        <v>1.46448087431694</v>
      </c>
      <c r="T13" s="24">
        <v>5500000</v>
      </c>
      <c r="U13" s="24">
        <v>4954000</v>
      </c>
      <c r="V13" s="19">
        <f t="shared" si="0"/>
        <v>0.90072727272727271</v>
      </c>
    </row>
    <row r="14" spans="1:22" ht="15.75" x14ac:dyDescent="0.25">
      <c r="A14" s="15" t="s">
        <v>26</v>
      </c>
      <c r="B14" s="16">
        <v>2300</v>
      </c>
      <c r="C14">
        <v>2336.46</v>
      </c>
      <c r="D14" s="18">
        <v>1.0158521739130435</v>
      </c>
      <c r="E14" s="16">
        <v>44</v>
      </c>
      <c r="F14" s="16">
        <v>50</v>
      </c>
      <c r="G14" s="18">
        <v>1.1363636363636365</v>
      </c>
      <c r="H14" s="17">
        <v>60</v>
      </c>
      <c r="I14" s="17">
        <v>38</v>
      </c>
      <c r="J14" s="18">
        <v>0.6333333333333333</v>
      </c>
      <c r="K14" s="16">
        <v>10</v>
      </c>
      <c r="L14" s="16">
        <v>11</v>
      </c>
      <c r="M14" s="18">
        <v>1.1000000000000001</v>
      </c>
      <c r="N14" s="16">
        <v>1200</v>
      </c>
      <c r="O14" s="16"/>
      <c r="P14" s="18">
        <f t="shared" si="1"/>
        <v>0</v>
      </c>
      <c r="Q14" s="16">
        <v>168</v>
      </c>
      <c r="R14" s="16">
        <v>169</v>
      </c>
      <c r="S14" s="18">
        <v>1.0059523809523809</v>
      </c>
      <c r="T14" s="24">
        <v>4000000</v>
      </c>
      <c r="U14" s="24">
        <v>2014000</v>
      </c>
      <c r="V14" s="19">
        <f t="shared" si="0"/>
        <v>0.50349999999999995</v>
      </c>
    </row>
    <row r="15" spans="1:22" ht="15.75" x14ac:dyDescent="0.25">
      <c r="A15" s="15" t="s">
        <v>27</v>
      </c>
      <c r="B15" s="16">
        <v>6000</v>
      </c>
      <c r="C15">
        <v>7187.6800000000139</v>
      </c>
      <c r="D15" s="18">
        <v>1.1979466666666689</v>
      </c>
      <c r="E15" s="16">
        <v>103</v>
      </c>
      <c r="F15" s="16">
        <v>180</v>
      </c>
      <c r="G15" s="18">
        <v>1.7475728155339805</v>
      </c>
      <c r="H15" s="17">
        <v>72</v>
      </c>
      <c r="I15" s="17">
        <v>73</v>
      </c>
      <c r="J15" s="18">
        <v>1.0138888888888888</v>
      </c>
      <c r="K15" s="16">
        <v>14</v>
      </c>
      <c r="L15" s="16">
        <v>15</v>
      </c>
      <c r="M15" s="18">
        <v>1.0714285714285714</v>
      </c>
      <c r="N15" s="16">
        <v>1200</v>
      </c>
      <c r="O15" s="16"/>
      <c r="P15" s="18">
        <f t="shared" si="1"/>
        <v>0</v>
      </c>
      <c r="Q15" s="16">
        <v>92</v>
      </c>
      <c r="R15" s="16">
        <v>96</v>
      </c>
      <c r="S15" s="18">
        <v>1.0434782608695652</v>
      </c>
      <c r="T15" s="24">
        <v>7000000</v>
      </c>
      <c r="U15" s="24">
        <v>6813000</v>
      </c>
      <c r="V15" s="19">
        <f t="shared" si="0"/>
        <v>0.97328571428571431</v>
      </c>
    </row>
    <row r="16" spans="1:22" ht="15.75" x14ac:dyDescent="0.25">
      <c r="A16" s="15" t="s">
        <v>13</v>
      </c>
      <c r="B16" s="16">
        <v>1500</v>
      </c>
      <c r="C16">
        <v>869.86</v>
      </c>
      <c r="D16" s="18">
        <v>0.57990666666666668</v>
      </c>
      <c r="E16" s="16">
        <v>17</v>
      </c>
      <c r="F16" s="16">
        <v>13</v>
      </c>
      <c r="G16" s="18">
        <v>0.76470588235294112</v>
      </c>
      <c r="H16" s="17">
        <v>102</v>
      </c>
      <c r="I16" s="17">
        <v>83</v>
      </c>
      <c r="J16" s="18">
        <v>0.81372549019607843</v>
      </c>
      <c r="K16" s="16">
        <v>6</v>
      </c>
      <c r="L16" s="16">
        <v>9</v>
      </c>
      <c r="M16" s="18">
        <v>1.5</v>
      </c>
      <c r="N16" s="16">
        <v>1500</v>
      </c>
      <c r="O16" s="16"/>
      <c r="P16" s="18">
        <f t="shared" si="1"/>
        <v>0</v>
      </c>
      <c r="Q16" s="16">
        <v>129</v>
      </c>
      <c r="R16" s="16">
        <v>185</v>
      </c>
      <c r="S16" s="18">
        <v>1.4341085271317831</v>
      </c>
      <c r="T16" s="24">
        <v>3000000</v>
      </c>
      <c r="U16" s="24">
        <v>4368000</v>
      </c>
      <c r="V16" s="19">
        <f t="shared" si="0"/>
        <v>1.456</v>
      </c>
    </row>
    <row r="17" spans="1:22" ht="15.75" x14ac:dyDescent="0.25">
      <c r="A17" s="15" t="s">
        <v>15</v>
      </c>
      <c r="B17" s="16">
        <v>2000</v>
      </c>
      <c r="C17">
        <v>1581.3399999999992</v>
      </c>
      <c r="D17" s="18">
        <v>0.79066999999999965</v>
      </c>
      <c r="E17" s="16">
        <v>13</v>
      </c>
      <c r="F17" s="16">
        <v>13</v>
      </c>
      <c r="G17" s="18">
        <v>1</v>
      </c>
      <c r="H17" s="17">
        <v>124</v>
      </c>
      <c r="I17" s="17">
        <v>129</v>
      </c>
      <c r="J17" s="18">
        <v>1.0403225806451613</v>
      </c>
      <c r="K17" s="16">
        <v>1</v>
      </c>
      <c r="L17" s="16">
        <v>1</v>
      </c>
      <c r="M17" s="18">
        <v>1</v>
      </c>
      <c r="N17" s="16">
        <v>1500</v>
      </c>
      <c r="O17" s="16"/>
      <c r="P17" s="18">
        <f t="shared" si="1"/>
        <v>0</v>
      </c>
      <c r="Q17" s="16">
        <v>183</v>
      </c>
      <c r="R17" s="16">
        <v>239</v>
      </c>
      <c r="S17" s="18">
        <v>1.3060109289617485</v>
      </c>
      <c r="T17" s="24">
        <v>5000000</v>
      </c>
      <c r="U17" s="24">
        <v>7386900</v>
      </c>
      <c r="V17" s="19">
        <f t="shared" si="0"/>
        <v>1.4773799999999999</v>
      </c>
    </row>
    <row r="18" spans="1:22" ht="15.75" x14ac:dyDescent="0.25">
      <c r="A18" s="15" t="s">
        <v>19</v>
      </c>
      <c r="B18" s="16">
        <v>1100</v>
      </c>
      <c r="C18">
        <v>1185.3199999999995</v>
      </c>
      <c r="D18" s="18">
        <v>1.0775636363636358</v>
      </c>
      <c r="E18" s="16">
        <v>16</v>
      </c>
      <c r="F18" s="16">
        <v>32</v>
      </c>
      <c r="G18" s="18">
        <v>2</v>
      </c>
      <c r="H18" s="17">
        <v>95</v>
      </c>
      <c r="I18" s="17">
        <v>107</v>
      </c>
      <c r="J18" s="18">
        <v>1.1263157894736842</v>
      </c>
      <c r="K18" s="16">
        <v>4</v>
      </c>
      <c r="L18" s="16">
        <v>2</v>
      </c>
      <c r="M18" s="18">
        <v>0.5</v>
      </c>
      <c r="N18" s="16">
        <v>1500</v>
      </c>
      <c r="O18" s="16"/>
      <c r="P18" s="18">
        <f t="shared" si="1"/>
        <v>0</v>
      </c>
      <c r="Q18" s="16">
        <v>146</v>
      </c>
      <c r="R18" s="16">
        <v>202</v>
      </c>
      <c r="S18" s="18">
        <v>1.3835616438356164</v>
      </c>
      <c r="T18" s="24">
        <v>2500000</v>
      </c>
      <c r="U18" s="24">
        <v>9073900</v>
      </c>
      <c r="V18" s="19">
        <f t="shared" si="0"/>
        <v>3.6295600000000001</v>
      </c>
    </row>
    <row r="19" spans="1:22" ht="15.75" x14ac:dyDescent="0.25">
      <c r="A19" s="15" t="s">
        <v>24</v>
      </c>
      <c r="B19" s="16">
        <v>2600</v>
      </c>
      <c r="C19">
        <v>2501.3799999999983</v>
      </c>
      <c r="D19" s="18">
        <v>0.96206923076923012</v>
      </c>
      <c r="E19" s="16">
        <v>62</v>
      </c>
      <c r="F19" s="16">
        <v>60</v>
      </c>
      <c r="G19" s="18">
        <v>0.967741935483871</v>
      </c>
      <c r="H19" s="17">
        <v>96</v>
      </c>
      <c r="I19" s="17">
        <v>78</v>
      </c>
      <c r="J19" s="18">
        <v>0.8125</v>
      </c>
      <c r="K19" s="16">
        <v>11</v>
      </c>
      <c r="L19" s="16">
        <v>18</v>
      </c>
      <c r="M19" s="18">
        <v>1.6363636363636365</v>
      </c>
      <c r="N19" s="16">
        <v>1500</v>
      </c>
      <c r="O19" s="16"/>
      <c r="P19" s="18">
        <f t="shared" si="1"/>
        <v>0</v>
      </c>
      <c r="Q19" s="16">
        <v>198</v>
      </c>
      <c r="R19" s="16">
        <v>197</v>
      </c>
      <c r="S19" s="18">
        <v>0.99494949494949492</v>
      </c>
      <c r="T19" s="24">
        <v>5500000</v>
      </c>
      <c r="U19" s="24">
        <v>4046999.9999000002</v>
      </c>
      <c r="V19" s="19">
        <f t="shared" si="0"/>
        <v>0.73581818180000003</v>
      </c>
    </row>
    <row r="20" spans="1:22" ht="15.75" x14ac:dyDescent="0.25">
      <c r="A20" s="15" t="s">
        <v>28</v>
      </c>
      <c r="B20" s="16">
        <v>2200</v>
      </c>
      <c r="C20">
        <v>2413.5599999999995</v>
      </c>
      <c r="D20" s="18">
        <v>1.097072727272727</v>
      </c>
      <c r="E20" s="16">
        <v>34</v>
      </c>
      <c r="F20" s="16">
        <v>46</v>
      </c>
      <c r="G20" s="18">
        <v>1.3529411764705883</v>
      </c>
      <c r="H20" s="17">
        <v>72</v>
      </c>
      <c r="I20" s="17">
        <v>65</v>
      </c>
      <c r="J20" s="18">
        <v>0.90277777777777779</v>
      </c>
      <c r="K20" s="16">
        <v>1</v>
      </c>
      <c r="L20" s="16">
        <v>0</v>
      </c>
      <c r="M20" s="18">
        <v>0</v>
      </c>
      <c r="N20" s="16">
        <v>1500</v>
      </c>
      <c r="O20" s="16"/>
      <c r="P20" s="18">
        <f t="shared" si="1"/>
        <v>0</v>
      </c>
      <c r="Q20" s="16">
        <v>151</v>
      </c>
      <c r="R20" s="16">
        <v>189</v>
      </c>
      <c r="S20" s="18">
        <v>1.2516556291390728</v>
      </c>
      <c r="T20" s="24">
        <v>7000000</v>
      </c>
      <c r="U20" s="24">
        <v>2273000</v>
      </c>
      <c r="V20" s="19">
        <f t="shared" si="0"/>
        <v>0.32471428571428573</v>
      </c>
    </row>
    <row r="21" spans="1:22" ht="15.75" x14ac:dyDescent="0.25">
      <c r="A21" s="15" t="s">
        <v>29</v>
      </c>
      <c r="B21" s="16">
        <v>2650</v>
      </c>
      <c r="C21">
        <v>1815.21</v>
      </c>
      <c r="D21" s="18">
        <v>0.6849849056603774</v>
      </c>
      <c r="E21" s="16">
        <v>30</v>
      </c>
      <c r="F21" s="16">
        <v>38</v>
      </c>
      <c r="G21" s="18">
        <v>1.2666666666666666</v>
      </c>
      <c r="H21" s="17">
        <v>236</v>
      </c>
      <c r="I21" s="17">
        <v>234</v>
      </c>
      <c r="J21" s="18">
        <v>0.99152542372881358</v>
      </c>
      <c r="K21" s="16">
        <v>10</v>
      </c>
      <c r="L21" s="16">
        <v>2</v>
      </c>
      <c r="M21" s="18">
        <v>0.2</v>
      </c>
      <c r="N21" s="16">
        <v>1500</v>
      </c>
      <c r="O21" s="16"/>
      <c r="P21" s="18">
        <f t="shared" si="1"/>
        <v>0</v>
      </c>
      <c r="Q21" s="16">
        <v>192</v>
      </c>
      <c r="R21" s="16">
        <v>521</v>
      </c>
      <c r="S21" s="18">
        <v>2.7135416666666665</v>
      </c>
      <c r="T21" s="24">
        <v>6500000</v>
      </c>
      <c r="U21" s="24">
        <v>6256800</v>
      </c>
      <c r="V21" s="19">
        <f t="shared" si="0"/>
        <v>0.96258461538461537</v>
      </c>
    </row>
    <row r="22" spans="1:22" ht="15.75" x14ac:dyDescent="0.25">
      <c r="A22" s="15" t="s">
        <v>30</v>
      </c>
      <c r="B22" s="16">
        <v>1600</v>
      </c>
      <c r="C22">
        <v>1208.95</v>
      </c>
      <c r="D22" s="18">
        <v>0.75559375000000006</v>
      </c>
      <c r="E22" s="16">
        <v>22</v>
      </c>
      <c r="F22" s="16">
        <v>26</v>
      </c>
      <c r="G22" s="18">
        <v>1.1818181818181819</v>
      </c>
      <c r="H22" s="17">
        <v>74</v>
      </c>
      <c r="I22" s="17">
        <v>59</v>
      </c>
      <c r="J22" s="18">
        <v>0.79729729729729726</v>
      </c>
      <c r="K22" s="16">
        <v>6</v>
      </c>
      <c r="L22" s="16">
        <v>6</v>
      </c>
      <c r="M22" s="18">
        <v>1</v>
      </c>
      <c r="N22" s="16">
        <v>1500</v>
      </c>
      <c r="O22" s="16"/>
      <c r="P22" s="18">
        <f t="shared" si="1"/>
        <v>0</v>
      </c>
      <c r="Q22" s="16">
        <v>181</v>
      </c>
      <c r="R22" s="16">
        <v>240</v>
      </c>
      <c r="S22" s="18">
        <v>1.3259668508287292</v>
      </c>
      <c r="T22" s="24">
        <v>3600000</v>
      </c>
      <c r="U22" s="24">
        <v>2956000</v>
      </c>
      <c r="V22" s="19">
        <f t="shared" si="0"/>
        <v>0.82111111111111112</v>
      </c>
    </row>
    <row r="23" spans="1:22" ht="15.75" x14ac:dyDescent="0.25">
      <c r="A23" s="15" t="s">
        <v>31</v>
      </c>
      <c r="B23" s="16">
        <v>2200</v>
      </c>
      <c r="C23">
        <v>2060.4899999999993</v>
      </c>
      <c r="D23" s="18">
        <v>0.93658636363636338</v>
      </c>
      <c r="E23" s="16">
        <v>23</v>
      </c>
      <c r="F23" s="16">
        <v>21</v>
      </c>
      <c r="G23" s="18">
        <v>0.91304347826086951</v>
      </c>
      <c r="H23" s="17">
        <v>92</v>
      </c>
      <c r="I23" s="17">
        <v>62</v>
      </c>
      <c r="J23" s="18">
        <v>0.67391304347826086</v>
      </c>
      <c r="K23" s="16">
        <v>1</v>
      </c>
      <c r="L23" s="16">
        <v>0</v>
      </c>
      <c r="M23" s="18">
        <v>0</v>
      </c>
      <c r="N23" s="16">
        <v>1500</v>
      </c>
      <c r="O23" s="16"/>
      <c r="P23" s="18">
        <f t="shared" si="1"/>
        <v>0</v>
      </c>
      <c r="Q23" s="16">
        <v>126</v>
      </c>
      <c r="R23" s="16">
        <v>157</v>
      </c>
      <c r="S23" s="18">
        <v>1.246031746031746</v>
      </c>
      <c r="T23" s="24">
        <v>6500000</v>
      </c>
      <c r="U23" s="24">
        <v>6392700</v>
      </c>
      <c r="V23" s="19">
        <f t="shared" si="0"/>
        <v>0.98349230769230767</v>
      </c>
    </row>
    <row r="24" spans="1:22" ht="15.75" x14ac:dyDescent="0.25">
      <c r="A24" s="20" t="s">
        <v>32</v>
      </c>
      <c r="B24" s="20">
        <f>SUM(B2:B23)</f>
        <v>53800</v>
      </c>
      <c r="C24" s="21">
        <f>SUM(C2:C23)</f>
        <v>51734.599999999991</v>
      </c>
      <c r="D24" s="18">
        <f t="shared" ref="D24" si="2">C24/B24</f>
        <v>0.96160966542750914</v>
      </c>
      <c r="E24" s="20">
        <f>SUM(E2:E23)</f>
        <v>840</v>
      </c>
      <c r="F24" s="20">
        <f>SUM(F2:F23)</f>
        <v>969</v>
      </c>
      <c r="G24" s="18">
        <f>F24/E24</f>
        <v>1.1535714285714285</v>
      </c>
      <c r="H24" s="21">
        <f>SUM(H2:H23)</f>
        <v>1868</v>
      </c>
      <c r="I24" s="21">
        <f>SUM(I2:I23)</f>
        <v>1634</v>
      </c>
      <c r="J24" s="18">
        <f t="shared" ref="J24" si="3">I24/H24</f>
        <v>0.87473233404710926</v>
      </c>
      <c r="K24" s="20">
        <f>SUM(K2:K23)</f>
        <v>131</v>
      </c>
      <c r="L24" s="20">
        <f>SUM(L2:L23)</f>
        <v>158</v>
      </c>
      <c r="M24" s="18">
        <f t="shared" ref="M24" si="4">L24/K24</f>
        <v>1.2061068702290076</v>
      </c>
      <c r="N24" s="20">
        <f>SUM(N2:N23)</f>
        <v>27700</v>
      </c>
      <c r="O24" s="20">
        <f>SUM(O2:O23)</f>
        <v>0</v>
      </c>
      <c r="P24" s="18">
        <f t="shared" si="1"/>
        <v>0</v>
      </c>
      <c r="Q24" s="20">
        <f>SUM(Q2:Q23)</f>
        <v>2738</v>
      </c>
      <c r="R24" s="20">
        <f>SUM(R2:R23)</f>
        <v>3535</v>
      </c>
      <c r="S24" s="18">
        <f t="shared" ref="S24" si="5">R24/Q24</f>
        <v>1.2910883856829802</v>
      </c>
      <c r="T24" s="22">
        <f>SUM(T2:T23)</f>
        <v>138600000</v>
      </c>
      <c r="U24" s="22">
        <f>SUM(U2:U23)</f>
        <v>102851789.9999</v>
      </c>
      <c r="V24" s="19">
        <f t="shared" si="0"/>
        <v>0.74207640692568544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Cumplimiento CVS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2026-03-25T20:57:34Z</dcterms:created>
  <dcterms:modified xsi:type="dcterms:W3CDTF">2026-04-07T16:24:35Z</dcterms:modified>
</cp:coreProperties>
</file>